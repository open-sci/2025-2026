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ho\Documents\Study\Unibo\OpenScience\2025-2026\bloom\disciplinary_flow\visualization\"/>
    </mc:Choice>
  </mc:AlternateContent>
  <xr:revisionPtr revIDLastSave="0" documentId="13_ncr:1_{B1BFE864-35D8-4404-B963-5D72AA49C8F3}" xr6:coauthVersionLast="47" xr6:coauthVersionMax="47" xr10:uidLastSave="{00000000-0000-0000-0000-000000000000}"/>
  <bookViews>
    <workbookView xWindow="-108" yWindow="-108" windowWidth="23256" windowHeight="12456" xr2:uid="{44B523D2-4823-4DA9-ADB8-7BD59D3713C4}"/>
  </bookViews>
  <sheets>
    <sheet name="format" sheetId="3" r:id="rId1"/>
    <sheet name="image" sheetId="4" r:id="rId2"/>
    <sheet name="pivot" sheetId="2" r:id="rId3"/>
    <sheet name="combined_subject_profile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C13" i="3"/>
  <c r="C3" i="3"/>
  <c r="C4" i="3"/>
  <c r="C5" i="3"/>
  <c r="C6" i="3"/>
  <c r="C7" i="3"/>
  <c r="C8" i="3"/>
  <c r="C9" i="3"/>
  <c r="C10" i="3"/>
  <c r="C11" i="3"/>
  <c r="C12" i="3"/>
  <c r="C14" i="3"/>
  <c r="C15" i="3"/>
  <c r="C16" i="3"/>
  <c r="C17" i="3"/>
  <c r="C18" i="3"/>
  <c r="C19" i="3"/>
  <c r="C20" i="3"/>
  <c r="C21" i="3"/>
  <c r="C22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3" i="3"/>
  <c r="O11" i="3" l="1"/>
  <c r="O10" i="3"/>
  <c r="O9" i="3"/>
  <c r="O8" i="3"/>
  <c r="O7" i="3"/>
  <c r="O6" i="3"/>
  <c r="O5" i="3"/>
  <c r="O4" i="3"/>
  <c r="O20" i="3"/>
  <c r="O19" i="3"/>
  <c r="N22" i="3"/>
  <c r="O22" i="3" s="1"/>
  <c r="O14" i="3" l="1"/>
  <c r="O18" i="3"/>
  <c r="O15" i="3"/>
  <c r="O21" i="3"/>
  <c r="O16" i="3"/>
  <c r="O12" i="3"/>
  <c r="O13" i="3"/>
  <c r="O3" i="3"/>
  <c r="O17" i="3"/>
</calcChain>
</file>

<file path=xl/sharedStrings.xml><?xml version="1.0" encoding="utf-8"?>
<sst xmlns="http://schemas.openxmlformats.org/spreadsheetml/2006/main" count="271" uniqueCount="43">
  <si>
    <t>Discipline</t>
  </si>
  <si>
    <t>cited_count</t>
  </si>
  <si>
    <t>citing_count</t>
  </si>
  <si>
    <t>total_count</t>
  </si>
  <si>
    <t>institution</t>
  </si>
  <si>
    <t>SCIENCE</t>
  </si>
  <si>
    <t>UNIBO</t>
  </si>
  <si>
    <t>MEDICINE</t>
  </si>
  <si>
    <t>GEOGRAPHY. ANTHROPOLOGY. RECREATION</t>
  </si>
  <si>
    <t>TECHNOLOGY</t>
  </si>
  <si>
    <t>AGRICULTURE</t>
  </si>
  <si>
    <t>SOCIAL SCIENCES</t>
  </si>
  <si>
    <t>EDUCATION</t>
  </si>
  <si>
    <t>POLITICAL SCIENCE</t>
  </si>
  <si>
    <t>PHILOSOPHY. PSYCHOLOGY. RELIGION</t>
  </si>
  <si>
    <t>Multidisciplinary</t>
  </si>
  <si>
    <t>Others</t>
  </si>
  <si>
    <t>LANGUAGE AND LITERATURE</t>
  </si>
  <si>
    <t>FINE ARTS</t>
  </si>
  <si>
    <t>BIBLIOGRAPHY. LIBRARY SCIENCE. INFORMATION RESOURCES</t>
  </si>
  <si>
    <t>LAW</t>
  </si>
  <si>
    <t>AUXILIARY SCIENCES OF HISTORY</t>
  </si>
  <si>
    <t>GENERAL WORKS</t>
  </si>
  <si>
    <t>MUSIC AND BOOKS ON MUSIC</t>
  </si>
  <si>
    <t>UNITO</t>
  </si>
  <si>
    <t>MILITARY SCIENCE</t>
  </si>
  <si>
    <t>UNIMI</t>
  </si>
  <si>
    <t>UNIPD</t>
  </si>
  <si>
    <t>UPO</t>
  </si>
  <si>
    <t>SNS</t>
  </si>
  <si>
    <t>列ラベル</t>
  </si>
  <si>
    <t>総計</t>
  </si>
  <si>
    <t>行ラベル</t>
  </si>
  <si>
    <t>合計 / total_count</t>
  </si>
  <si>
    <t>MULTIDISCIPLINARY</t>
    <phoneticPr fontId="18"/>
  </si>
  <si>
    <t>OTHERS</t>
    <phoneticPr fontId="18"/>
  </si>
  <si>
    <t>TOTAL</t>
    <phoneticPr fontId="18"/>
  </si>
  <si>
    <t>GEO./ANTHROP.</t>
    <phoneticPr fontId="18"/>
  </si>
  <si>
    <t>BIB./LIB.SCI.</t>
    <phoneticPr fontId="18"/>
  </si>
  <si>
    <t>PHIL./PSYCH./REL.</t>
    <phoneticPr fontId="18"/>
  </si>
  <si>
    <t>AUX.SCI.HISTORY</t>
    <phoneticPr fontId="18"/>
  </si>
  <si>
    <t>MUSIC</t>
    <phoneticPr fontId="18"/>
  </si>
  <si>
    <t>paste the table as image, and then save as image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</si>
</sst>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(0.00%\);\(\-0.00%\);\(0.00%\);&quot;-&quot;"/>
  </numFmts>
  <fonts count="2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theme="1"/>
      <name val="Noto Sans JP"/>
      <family val="3"/>
      <charset val="128"/>
    </font>
    <font>
      <b/>
      <sz val="11"/>
      <color theme="1"/>
      <name val="Noto Sans JP"/>
      <family val="3"/>
      <charset val="128"/>
    </font>
    <font>
      <sz val="10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4">
    <xf numFmtId="0" fontId="0" fillId="0" borderId="0">
      <alignment vertical="center"/>
    </xf>
    <xf numFmtId="40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9" fillId="33" borderId="10" xfId="0" applyFont="1" applyFill="1" applyBorder="1">
      <alignment vertical="center"/>
    </xf>
    <xf numFmtId="0" fontId="20" fillId="0" borderId="10" xfId="0" applyFont="1" applyBorder="1">
      <alignment vertical="center"/>
    </xf>
    <xf numFmtId="0" fontId="21" fillId="33" borderId="0" xfId="0" applyFont="1" applyFill="1">
      <alignment vertical="center"/>
    </xf>
    <xf numFmtId="38" fontId="22" fillId="33" borderId="11" xfId="1" applyNumberFormat="1" applyFont="1" applyFill="1" applyBorder="1" applyAlignment="1">
      <alignment vertical="center"/>
    </xf>
    <xf numFmtId="176" fontId="21" fillId="33" borderId="0" xfId="2" applyNumberFormat="1" applyFont="1" applyFill="1" applyBorder="1" applyAlignment="1">
      <alignment horizontal="left" vertical="center"/>
    </xf>
    <xf numFmtId="38" fontId="22" fillId="33" borderId="11" xfId="1" applyNumberFormat="1" applyFont="1" applyFill="1" applyBorder="1" applyAlignment="1">
      <alignment horizontal="right" vertical="center"/>
    </xf>
    <xf numFmtId="0" fontId="22" fillId="0" borderId="0" xfId="0" applyFont="1">
      <alignment vertical="center"/>
    </xf>
    <xf numFmtId="38" fontId="21" fillId="33" borderId="11" xfId="1" applyNumberFormat="1" applyFont="1" applyFill="1" applyBorder="1" applyAlignment="1">
      <alignment horizontal="right" vertical="center"/>
    </xf>
    <xf numFmtId="0" fontId="21" fillId="33" borderId="0" xfId="0" applyFont="1" applyFill="1" applyAlignment="1">
      <alignment vertical="center" wrapText="1"/>
    </xf>
    <xf numFmtId="0" fontId="19" fillId="33" borderId="13" xfId="0" applyFont="1" applyFill="1" applyBorder="1">
      <alignment vertical="center"/>
    </xf>
    <xf numFmtId="38" fontId="20" fillId="33" borderId="14" xfId="1" applyNumberFormat="1" applyFont="1" applyFill="1" applyBorder="1" applyAlignment="1">
      <alignment vertical="center"/>
    </xf>
    <xf numFmtId="176" fontId="19" fillId="33" borderId="13" xfId="2" applyNumberFormat="1" applyFont="1" applyFill="1" applyBorder="1" applyAlignment="1">
      <alignment horizontal="left" vertical="center"/>
    </xf>
    <xf numFmtId="38" fontId="20" fillId="33" borderId="14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38" fontId="22" fillId="0" borderId="0" xfId="1" applyNumberFormat="1" applyFont="1" applyAlignment="1">
      <alignment vertical="center"/>
    </xf>
    <xf numFmtId="176" fontId="21" fillId="0" borderId="0" xfId="0" applyNumberFormat="1" applyFont="1" applyAlignment="1">
      <alignment horizontal="left" vertical="center"/>
    </xf>
    <xf numFmtId="38" fontId="22" fillId="0" borderId="0" xfId="1" applyNumberFormat="1" applyFont="1" applyAlignment="1">
      <alignment horizontal="right" vertical="center"/>
    </xf>
    <xf numFmtId="38" fontId="20" fillId="33" borderId="12" xfId="1" applyNumberFormat="1" applyFont="1" applyFill="1" applyBorder="1" applyAlignment="1">
      <alignment horizontal="center" vertical="center"/>
    </xf>
    <xf numFmtId="38" fontId="20" fillId="33" borderId="10" xfId="1" applyNumberFormat="1" applyFont="1" applyFill="1" applyBorder="1" applyAlignment="1">
      <alignment horizontal="center" vertical="center"/>
    </xf>
  </cellXfs>
  <cellStyles count="44">
    <cellStyle name="20% - アクセント 1" xfId="21" builtinId="30" customBuiltin="1"/>
    <cellStyle name="20% - アクセント 2" xfId="25" builtinId="34" customBuiltin="1"/>
    <cellStyle name="20% - アクセント 3" xfId="29" builtinId="38" customBuiltin="1"/>
    <cellStyle name="20% - アクセント 4" xfId="33" builtinId="42" customBuiltin="1"/>
    <cellStyle name="20% - アクセント 5" xfId="37" builtinId="46" customBuiltin="1"/>
    <cellStyle name="20% - アクセント 6" xfId="41" builtinId="50" customBuiltin="1"/>
    <cellStyle name="40% - アクセント 1" xfId="22" builtinId="31" customBuiltin="1"/>
    <cellStyle name="40% - アクセント 2" xfId="26" builtinId="35" customBuiltin="1"/>
    <cellStyle name="40% - アクセント 3" xfId="30" builtinId="39" customBuiltin="1"/>
    <cellStyle name="40% - アクセント 4" xfId="34" builtinId="43" customBuiltin="1"/>
    <cellStyle name="40% - アクセント 5" xfId="38" builtinId="47" customBuiltin="1"/>
    <cellStyle name="40% - アクセント 6" xfId="42" builtinId="51" customBuiltin="1"/>
    <cellStyle name="60% - アクセント 1" xfId="23" builtinId="32" customBuiltin="1"/>
    <cellStyle name="60% - アクセント 2" xfId="27" builtinId="36" customBuiltin="1"/>
    <cellStyle name="60% - アクセント 3" xfId="31" builtinId="40" customBuiltin="1"/>
    <cellStyle name="60% - アクセント 4" xfId="35" builtinId="44" customBuiltin="1"/>
    <cellStyle name="60% - アクセント 5" xfId="39" builtinId="48" customBuiltin="1"/>
    <cellStyle name="60% - アクセント 6" xfId="43" builtinId="52" customBuiltin="1"/>
    <cellStyle name="アクセント 1" xfId="20" builtinId="29" customBuiltin="1"/>
    <cellStyle name="アクセント 2" xfId="24" builtinId="33" customBuiltin="1"/>
    <cellStyle name="アクセント 3" xfId="28" builtinId="37" customBuiltin="1"/>
    <cellStyle name="アクセント 4" xfId="32" builtinId="41" customBuiltin="1"/>
    <cellStyle name="アクセント 5" xfId="36" builtinId="45" customBuiltin="1"/>
    <cellStyle name="アクセント 6" xfId="40" builtinId="49" customBuiltin="1"/>
    <cellStyle name="タイトル" xfId="3" builtinId="15" customBuiltin="1"/>
    <cellStyle name="チェック セル" xfId="15" builtinId="23" customBuiltin="1"/>
    <cellStyle name="どちらでもない" xfId="10" builtinId="28" customBuiltin="1"/>
    <cellStyle name="パーセント" xfId="2" builtinId="5"/>
    <cellStyle name="メモ" xfId="17" builtinId="10" customBuiltin="1"/>
    <cellStyle name="リンク セル" xfId="14" builtinId="24" customBuiltin="1"/>
    <cellStyle name="入力" xfId="11" builtinId="20" customBuiltin="1"/>
    <cellStyle name="出力" xfId="12" builtinId="21" customBuiltin="1"/>
    <cellStyle name="悪い" xfId="9" builtinId="27" customBuiltin="1"/>
    <cellStyle name="桁区切り [0.00]" xfId="1" builtinId="3"/>
    <cellStyle name="標準" xfId="0" builtinId="0"/>
    <cellStyle name="良い" xfId="8" builtinId="26" customBuiltin="1"/>
    <cellStyle name="見出し 1" xfId="4" builtinId="16" customBuiltin="1"/>
    <cellStyle name="見出し 2" xfId="5" builtinId="17" customBuiltin="1"/>
    <cellStyle name="見出し 3" xfId="6" builtinId="18" customBuiltin="1"/>
    <cellStyle name="見出し 4" xfId="7" builtinId="19" customBuiltin="1"/>
    <cellStyle name="計算" xfId="13" builtinId="22" customBuiltin="1"/>
    <cellStyle name="説明文" xfId="18" builtinId="53" customBuiltin="1"/>
    <cellStyle name="警告文" xfId="16" builtinId="11" customBuiltin="1"/>
    <cellStyle name="集計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60960</xdr:rowOff>
    </xdr:from>
    <xdr:to>
      <xdr:col>20</xdr:col>
      <xdr:colOff>106680</xdr:colOff>
      <xdr:row>22</xdr:row>
      <xdr:rowOff>213360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D3BB837-740A-1F09-4A3E-E483C7BE6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32560"/>
          <a:ext cx="13403580" cy="495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ho Nakamura" refreshedDate="46181.700787268521" createdVersion="8" refreshedVersion="8" minRefreshableVersion="3" recordCount="104" xr:uid="{CEF855F8-CE21-4614-B031-E3B6DD39A42E}">
  <cacheSource type="worksheet">
    <worksheetSource ref="A1:E105" sheet="combined_subject_profile"/>
  </cacheSource>
  <cacheFields count="5">
    <cacheField name="Discipline" numFmtId="0">
      <sharedItems count="19">
        <s v="SCIENCE"/>
        <s v="MEDICINE"/>
        <s v="GEOGRAPHY. ANTHROPOLOGY. RECREATION"/>
        <s v="TECHNOLOGY"/>
        <s v="AGRICULTURE"/>
        <s v="SOCIAL SCIENCES"/>
        <s v="EDUCATION"/>
        <s v="POLITICAL SCIENCE"/>
        <s v="PHILOSOPHY. PSYCHOLOGY. RELIGION"/>
        <s v="Multidisciplinary"/>
        <s v="Others"/>
        <s v="LANGUAGE AND LITERATURE"/>
        <s v="FINE ARTS"/>
        <s v="BIBLIOGRAPHY. LIBRARY SCIENCE. INFORMATION RESOURCES"/>
        <s v="LAW"/>
        <s v="AUXILIARY SCIENCES OF HISTORY"/>
        <s v="GENERAL WORKS"/>
        <s v="MUSIC AND BOOKS ON MUSIC"/>
        <s v="MILITARY SCIENCE"/>
      </sharedItems>
    </cacheField>
    <cacheField name="cited_count" numFmtId="0">
      <sharedItems containsSemiMixedTypes="0" containsString="0" containsNumber="1" containsInteger="1" minValue="0" maxValue="5344229"/>
    </cacheField>
    <cacheField name="citing_count" numFmtId="0">
      <sharedItems containsSemiMixedTypes="0" containsString="0" containsNumber="1" containsInteger="1" minValue="0" maxValue="4212478"/>
    </cacheField>
    <cacheField name="total_count" numFmtId="0">
      <sharedItems containsSemiMixedTypes="0" containsString="0" containsNumber="1" containsInteger="1" minValue="6" maxValue="9556707"/>
    </cacheField>
    <cacheField name="institution" numFmtId="0">
      <sharedItems count="6">
        <s v="UNIBO"/>
        <s v="UNITO"/>
        <s v="UNIMI"/>
        <s v="UNIPD"/>
        <s v="UPO"/>
        <s v="S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n v="3170898"/>
    <n v="3557051"/>
    <n v="6727949"/>
    <x v="0"/>
  </r>
  <r>
    <x v="1"/>
    <n v="2995492"/>
    <n v="2716909"/>
    <n v="5712401"/>
    <x v="0"/>
  </r>
  <r>
    <x v="2"/>
    <n v="644412"/>
    <n v="982595"/>
    <n v="1627007"/>
    <x v="0"/>
  </r>
  <r>
    <x v="3"/>
    <n v="740597"/>
    <n v="844385"/>
    <n v="1584982"/>
    <x v="0"/>
  </r>
  <r>
    <x v="4"/>
    <n v="540927"/>
    <n v="781457"/>
    <n v="1322384"/>
    <x v="0"/>
  </r>
  <r>
    <x v="5"/>
    <n v="418510"/>
    <n v="693976"/>
    <n v="1112486"/>
    <x v="0"/>
  </r>
  <r>
    <x v="6"/>
    <n v="345610"/>
    <n v="581189"/>
    <n v="926799"/>
    <x v="0"/>
  </r>
  <r>
    <x v="7"/>
    <n v="345181"/>
    <n v="580491"/>
    <n v="925672"/>
    <x v="0"/>
  </r>
  <r>
    <x v="8"/>
    <n v="278569"/>
    <n v="401305"/>
    <n v="679874"/>
    <x v="0"/>
  </r>
  <r>
    <x v="9"/>
    <n v="242640"/>
    <n v="171292"/>
    <n v="413932"/>
    <x v="0"/>
  </r>
  <r>
    <x v="10"/>
    <n v="137918"/>
    <n v="159712"/>
    <n v="297630"/>
    <x v="0"/>
  </r>
  <r>
    <x v="11"/>
    <n v="125195"/>
    <n v="163030"/>
    <n v="288225"/>
    <x v="0"/>
  </r>
  <r>
    <x v="12"/>
    <n v="2194"/>
    <n v="1867"/>
    <n v="4061"/>
    <x v="0"/>
  </r>
  <r>
    <x v="13"/>
    <n v="806"/>
    <n v="816"/>
    <n v="1622"/>
    <x v="0"/>
  </r>
  <r>
    <x v="14"/>
    <n v="525"/>
    <n v="120"/>
    <n v="645"/>
    <x v="0"/>
  </r>
  <r>
    <x v="15"/>
    <n v="183"/>
    <n v="425"/>
    <n v="608"/>
    <x v="0"/>
  </r>
  <r>
    <x v="16"/>
    <n v="116"/>
    <n v="187"/>
    <n v="303"/>
    <x v="0"/>
  </r>
  <r>
    <x v="17"/>
    <n v="4"/>
    <n v="117"/>
    <n v="121"/>
    <x v="0"/>
  </r>
  <r>
    <x v="0"/>
    <n v="2317628"/>
    <n v="2547898"/>
    <n v="4865526"/>
    <x v="1"/>
  </r>
  <r>
    <x v="1"/>
    <n v="2525171"/>
    <n v="2276756"/>
    <n v="4801927"/>
    <x v="1"/>
  </r>
  <r>
    <x v="4"/>
    <n v="378624"/>
    <n v="600179"/>
    <n v="978803"/>
    <x v="1"/>
  </r>
  <r>
    <x v="2"/>
    <n v="365160"/>
    <n v="603707"/>
    <n v="968867"/>
    <x v="1"/>
  </r>
  <r>
    <x v="3"/>
    <n v="303844"/>
    <n v="393525"/>
    <n v="697369"/>
    <x v="1"/>
  </r>
  <r>
    <x v="5"/>
    <n v="213665"/>
    <n v="378027"/>
    <n v="591692"/>
    <x v="1"/>
  </r>
  <r>
    <x v="6"/>
    <n v="173448"/>
    <n v="314457"/>
    <n v="487905"/>
    <x v="1"/>
  </r>
  <r>
    <x v="7"/>
    <n v="172985"/>
    <n v="313992"/>
    <n v="486977"/>
    <x v="1"/>
  </r>
  <r>
    <x v="8"/>
    <n v="156478"/>
    <n v="260678"/>
    <n v="417156"/>
    <x v="1"/>
  </r>
  <r>
    <x v="9"/>
    <n v="244531"/>
    <n v="143358"/>
    <n v="387889"/>
    <x v="1"/>
  </r>
  <r>
    <x v="10"/>
    <n v="89107"/>
    <n v="106579"/>
    <n v="195686"/>
    <x v="1"/>
  </r>
  <r>
    <x v="11"/>
    <n v="49966"/>
    <n v="95311"/>
    <n v="145277"/>
    <x v="1"/>
  </r>
  <r>
    <x v="12"/>
    <n v="2094"/>
    <n v="1501"/>
    <n v="3595"/>
    <x v="1"/>
  </r>
  <r>
    <x v="16"/>
    <n v="369"/>
    <n v="491"/>
    <n v="860"/>
    <x v="1"/>
  </r>
  <r>
    <x v="13"/>
    <n v="305"/>
    <n v="501"/>
    <n v="806"/>
    <x v="1"/>
  </r>
  <r>
    <x v="15"/>
    <n v="106"/>
    <n v="325"/>
    <n v="431"/>
    <x v="1"/>
  </r>
  <r>
    <x v="14"/>
    <n v="176"/>
    <n v="99"/>
    <n v="275"/>
    <x v="1"/>
  </r>
  <r>
    <x v="18"/>
    <n v="22"/>
    <n v="73"/>
    <n v="95"/>
    <x v="1"/>
  </r>
  <r>
    <x v="1"/>
    <n v="5344229"/>
    <n v="4212478"/>
    <n v="9556707"/>
    <x v="2"/>
  </r>
  <r>
    <x v="0"/>
    <n v="4121851"/>
    <n v="3754384"/>
    <n v="7876235"/>
    <x v="2"/>
  </r>
  <r>
    <x v="4"/>
    <n v="627135"/>
    <n v="808780"/>
    <n v="1435915"/>
    <x v="2"/>
  </r>
  <r>
    <x v="2"/>
    <n v="494187"/>
    <n v="666695"/>
    <n v="1160882"/>
    <x v="2"/>
  </r>
  <r>
    <x v="3"/>
    <n v="399442"/>
    <n v="510079"/>
    <n v="909521"/>
    <x v="2"/>
  </r>
  <r>
    <x v="5"/>
    <n v="280405"/>
    <n v="400731"/>
    <n v="681136"/>
    <x v="2"/>
  </r>
  <r>
    <x v="9"/>
    <n v="431123"/>
    <n v="213399"/>
    <n v="644522"/>
    <x v="2"/>
  </r>
  <r>
    <x v="6"/>
    <n v="240069"/>
    <n v="346240"/>
    <n v="586309"/>
    <x v="2"/>
  </r>
  <r>
    <x v="7"/>
    <n v="239674"/>
    <n v="345482"/>
    <n v="585156"/>
    <x v="2"/>
  </r>
  <r>
    <x v="8"/>
    <n v="156953"/>
    <n v="218421"/>
    <n v="375374"/>
    <x v="2"/>
  </r>
  <r>
    <x v="10"/>
    <n v="144004"/>
    <n v="119279"/>
    <n v="263283"/>
    <x v="2"/>
  </r>
  <r>
    <x v="11"/>
    <n v="69833"/>
    <n v="99430"/>
    <n v="169263"/>
    <x v="2"/>
  </r>
  <r>
    <x v="12"/>
    <n v="3877"/>
    <n v="1519"/>
    <n v="5396"/>
    <x v="2"/>
  </r>
  <r>
    <x v="14"/>
    <n v="1247"/>
    <n v="570"/>
    <n v="1817"/>
    <x v="2"/>
  </r>
  <r>
    <x v="16"/>
    <n v="430"/>
    <n v="315"/>
    <n v="745"/>
    <x v="2"/>
  </r>
  <r>
    <x v="13"/>
    <n v="312"/>
    <n v="307"/>
    <n v="619"/>
    <x v="2"/>
  </r>
  <r>
    <x v="15"/>
    <n v="70"/>
    <n v="91"/>
    <n v="161"/>
    <x v="2"/>
  </r>
  <r>
    <x v="18"/>
    <n v="22"/>
    <n v="73"/>
    <n v="95"/>
    <x v="2"/>
  </r>
  <r>
    <x v="17"/>
    <n v="0"/>
    <n v="67"/>
    <n v="67"/>
    <x v="2"/>
  </r>
  <r>
    <x v="0"/>
    <n v="3249518"/>
    <n v="3475269"/>
    <n v="6724787"/>
    <x v="3"/>
  </r>
  <r>
    <x v="1"/>
    <n v="2854728"/>
    <n v="2876987"/>
    <n v="5731715"/>
    <x v="3"/>
  </r>
  <r>
    <x v="2"/>
    <n v="557630"/>
    <n v="827290"/>
    <n v="1384920"/>
    <x v="3"/>
  </r>
  <r>
    <x v="3"/>
    <n v="636729"/>
    <n v="743320"/>
    <n v="1380049"/>
    <x v="3"/>
  </r>
  <r>
    <x v="4"/>
    <n v="472382"/>
    <n v="711974"/>
    <n v="1184356"/>
    <x v="3"/>
  </r>
  <r>
    <x v="8"/>
    <n v="356780"/>
    <n v="524383"/>
    <n v="881163"/>
    <x v="3"/>
  </r>
  <r>
    <x v="5"/>
    <n v="338819"/>
    <n v="497573"/>
    <n v="836392"/>
    <x v="3"/>
  </r>
  <r>
    <x v="6"/>
    <n v="288110"/>
    <n v="446546"/>
    <n v="734656"/>
    <x v="3"/>
  </r>
  <r>
    <x v="7"/>
    <n v="287453"/>
    <n v="445166"/>
    <n v="732619"/>
    <x v="3"/>
  </r>
  <r>
    <x v="9"/>
    <n v="404796"/>
    <n v="217516"/>
    <n v="622312"/>
    <x v="3"/>
  </r>
  <r>
    <x v="11"/>
    <n v="105782"/>
    <n v="155711"/>
    <n v="261493"/>
    <x v="3"/>
  </r>
  <r>
    <x v="10"/>
    <n v="124541"/>
    <n v="136223"/>
    <n v="260764"/>
    <x v="3"/>
  </r>
  <r>
    <x v="12"/>
    <n v="3630"/>
    <n v="2180"/>
    <n v="5810"/>
    <x v="3"/>
  </r>
  <r>
    <x v="15"/>
    <n v="245"/>
    <n v="372"/>
    <n v="617"/>
    <x v="3"/>
  </r>
  <r>
    <x v="13"/>
    <n v="258"/>
    <n v="256"/>
    <n v="514"/>
    <x v="3"/>
  </r>
  <r>
    <x v="14"/>
    <n v="73"/>
    <n v="191"/>
    <n v="264"/>
    <x v="3"/>
  </r>
  <r>
    <x v="16"/>
    <n v="98"/>
    <n v="33"/>
    <n v="131"/>
    <x v="3"/>
  </r>
  <r>
    <x v="18"/>
    <n v="13"/>
    <n v="36"/>
    <n v="49"/>
    <x v="3"/>
  </r>
  <r>
    <x v="0"/>
    <n v="563809"/>
    <n v="575448"/>
    <n v="1139257"/>
    <x v="4"/>
  </r>
  <r>
    <x v="1"/>
    <n v="568491"/>
    <n v="563860"/>
    <n v="1132351"/>
    <x v="4"/>
  </r>
  <r>
    <x v="3"/>
    <n v="65870"/>
    <n v="94507"/>
    <n v="160377"/>
    <x v="4"/>
  </r>
  <r>
    <x v="2"/>
    <n v="51025"/>
    <n v="76618"/>
    <n v="127643"/>
    <x v="4"/>
  </r>
  <r>
    <x v="4"/>
    <n v="45972"/>
    <n v="68243"/>
    <n v="114215"/>
    <x v="4"/>
  </r>
  <r>
    <x v="5"/>
    <n v="26315"/>
    <n v="53114"/>
    <n v="79429"/>
    <x v="4"/>
  </r>
  <r>
    <x v="9"/>
    <n v="47086"/>
    <n v="26459"/>
    <n v="73545"/>
    <x v="4"/>
  </r>
  <r>
    <x v="7"/>
    <n v="20547"/>
    <n v="40919"/>
    <n v="61466"/>
    <x v="4"/>
  </r>
  <r>
    <x v="6"/>
    <n v="20641"/>
    <n v="40172"/>
    <n v="60813"/>
    <x v="4"/>
  </r>
  <r>
    <x v="8"/>
    <n v="10275"/>
    <n v="28137"/>
    <n v="38412"/>
    <x v="4"/>
  </r>
  <r>
    <x v="10"/>
    <n v="12389"/>
    <n v="13712"/>
    <n v="26101"/>
    <x v="4"/>
  </r>
  <r>
    <x v="11"/>
    <n v="5257"/>
    <n v="17863"/>
    <n v="23120"/>
    <x v="4"/>
  </r>
  <r>
    <x v="12"/>
    <n v="1215"/>
    <n v="550"/>
    <n v="1765"/>
    <x v="4"/>
  </r>
  <r>
    <x v="14"/>
    <n v="320"/>
    <n v="323"/>
    <n v="643"/>
    <x v="4"/>
  </r>
  <r>
    <x v="15"/>
    <n v="53"/>
    <n v="27"/>
    <n v="80"/>
    <x v="4"/>
  </r>
  <r>
    <x v="13"/>
    <n v="0"/>
    <n v="25"/>
    <n v="25"/>
    <x v="4"/>
  </r>
  <r>
    <x v="16"/>
    <n v="6"/>
    <n v="0"/>
    <n v="6"/>
    <x v="4"/>
  </r>
  <r>
    <x v="0"/>
    <n v="402473"/>
    <n v="366831"/>
    <n v="769304"/>
    <x v="5"/>
  </r>
  <r>
    <x v="1"/>
    <n v="80612"/>
    <n v="83742"/>
    <n v="164354"/>
    <x v="5"/>
  </r>
  <r>
    <x v="3"/>
    <n v="43266"/>
    <n v="47326"/>
    <n v="90592"/>
    <x v="5"/>
  </r>
  <r>
    <x v="5"/>
    <n v="33691"/>
    <n v="50963"/>
    <n v="84654"/>
    <x v="5"/>
  </r>
  <r>
    <x v="2"/>
    <n v="32999"/>
    <n v="48909"/>
    <n v="81908"/>
    <x v="5"/>
  </r>
  <r>
    <x v="6"/>
    <n v="30439"/>
    <n v="46379"/>
    <n v="76818"/>
    <x v="5"/>
  </r>
  <r>
    <x v="7"/>
    <n v="30366"/>
    <n v="46317"/>
    <n v="76683"/>
    <x v="5"/>
  </r>
  <r>
    <x v="9"/>
    <n v="41806"/>
    <n v="12641"/>
    <n v="54447"/>
    <x v="5"/>
  </r>
  <r>
    <x v="8"/>
    <n v="6512"/>
    <n v="11106"/>
    <n v="17618"/>
    <x v="5"/>
  </r>
  <r>
    <x v="4"/>
    <n v="6654"/>
    <n v="7852"/>
    <n v="14506"/>
    <x v="5"/>
  </r>
  <r>
    <x v="10"/>
    <n v="7656"/>
    <n v="6583"/>
    <n v="14239"/>
    <x v="5"/>
  </r>
  <r>
    <x v="11"/>
    <n v="4161"/>
    <n v="7541"/>
    <n v="11702"/>
    <x v="5"/>
  </r>
  <r>
    <x v="14"/>
    <n v="60"/>
    <n v="118"/>
    <n v="178"/>
    <x v="5"/>
  </r>
  <r>
    <x v="12"/>
    <n v="79"/>
    <n v="93"/>
    <n v="17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661FF-6D7B-4D45-BBA9-40D1AE82AD51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1">
  <location ref="A1:H22" firstHeaderRow="1" firstDataRow="2" firstDataCol="1"/>
  <pivotFields count="5">
    <pivotField axis="axisRow" showAll="0">
      <items count="20">
        <item x="4"/>
        <item x="15"/>
        <item x="13"/>
        <item x="6"/>
        <item x="12"/>
        <item x="16"/>
        <item x="2"/>
        <item x="11"/>
        <item x="14"/>
        <item x="1"/>
        <item x="18"/>
        <item x="9"/>
        <item x="17"/>
        <item x="10"/>
        <item x="8"/>
        <item x="7"/>
        <item x="0"/>
        <item x="5"/>
        <item x="3"/>
        <item t="default"/>
      </items>
    </pivotField>
    <pivotField showAll="0"/>
    <pivotField showAll="0"/>
    <pivotField dataField="1" showAll="0"/>
    <pivotField axis="axisCol" showAll="0">
      <items count="7">
        <item x="5"/>
        <item x="0"/>
        <item x="2"/>
        <item x="3"/>
        <item x="1"/>
        <item x="4"/>
        <item t="default"/>
      </items>
    </pivotField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合計 / total_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A4842-2E89-44DF-A3B7-E65E1AD59F9F}">
  <dimension ref="A2:O22"/>
  <sheetViews>
    <sheetView tabSelected="1" topLeftCell="A2" workbookViewId="0">
      <selection activeCell="I5" sqref="I5"/>
    </sheetView>
  </sheetViews>
  <sheetFormatPr defaultRowHeight="18" x14ac:dyDescent="0.45"/>
  <cols>
    <col min="1" max="1" width="24.19921875" style="17" customWidth="1"/>
    <col min="2" max="2" width="12.296875" style="18" bestFit="1" customWidth="1"/>
    <col min="3" max="3" width="9.69921875" style="19" bestFit="1" customWidth="1"/>
    <col min="4" max="4" width="12.296875" style="20" bestFit="1" customWidth="1"/>
    <col min="5" max="5" width="9.69921875" style="19" bestFit="1" customWidth="1"/>
    <col min="6" max="6" width="12.296875" style="20" bestFit="1" customWidth="1"/>
    <col min="7" max="7" width="9.69921875" style="19" bestFit="1" customWidth="1"/>
    <col min="8" max="8" width="12.296875" style="20" bestFit="1" customWidth="1"/>
    <col min="9" max="9" width="9.69921875" style="19" bestFit="1" customWidth="1"/>
    <col min="10" max="10" width="11.09765625" style="20" bestFit="1" customWidth="1"/>
    <col min="11" max="11" width="9.69921875" style="19" bestFit="1" customWidth="1"/>
    <col min="12" max="12" width="11.09765625" style="20" bestFit="1" customWidth="1"/>
    <col min="13" max="13" width="9.69921875" style="19" bestFit="1" customWidth="1"/>
    <col min="14" max="14" width="12.296875" style="20" bestFit="1" customWidth="1"/>
    <col min="15" max="15" width="9.69921875" style="19" bestFit="1" customWidth="1"/>
    <col min="16" max="16384" width="8.796875" style="9"/>
  </cols>
  <sheetData>
    <row r="2" spans="1:15" s="4" customFormat="1" ht="28.2" customHeight="1" x14ac:dyDescent="0.45">
      <c r="A2" s="3"/>
      <c r="B2" s="21" t="s">
        <v>6</v>
      </c>
      <c r="C2" s="22"/>
      <c r="D2" s="21" t="s">
        <v>26</v>
      </c>
      <c r="E2" s="22"/>
      <c r="F2" s="21" t="s">
        <v>27</v>
      </c>
      <c r="G2" s="22"/>
      <c r="H2" s="21" t="s">
        <v>24</v>
      </c>
      <c r="I2" s="22"/>
      <c r="J2" s="21" t="s">
        <v>28</v>
      </c>
      <c r="K2" s="22"/>
      <c r="L2" s="21" t="s">
        <v>29</v>
      </c>
      <c r="M2" s="22"/>
      <c r="N2" s="21" t="s">
        <v>36</v>
      </c>
      <c r="O2" s="22"/>
    </row>
    <row r="3" spans="1:15" x14ac:dyDescent="0.45">
      <c r="A3" s="5" t="s">
        <v>10</v>
      </c>
      <c r="B3" s="6">
        <v>1322384</v>
      </c>
      <c r="C3" s="7">
        <f>IFERROR(B3/$B$22,"-")</f>
        <v>6.1145895529789773E-2</v>
      </c>
      <c r="D3" s="8">
        <v>1435915</v>
      </c>
      <c r="E3" s="7">
        <f>IFERROR(D3/$D$22,"-")</f>
        <v>5.9205169725417298E-2</v>
      </c>
      <c r="F3" s="8">
        <v>1184356</v>
      </c>
      <c r="G3" s="7">
        <f>IFERROR(F3/$F$22,"-")</f>
        <v>5.7097729885596367E-2</v>
      </c>
      <c r="H3" s="8">
        <v>978803</v>
      </c>
      <c r="I3" s="7">
        <f>IFERROR(H3/$H$22,"-")</f>
        <v>6.5118364972547652E-2</v>
      </c>
      <c r="J3" s="8">
        <v>114215</v>
      </c>
      <c r="K3" s="7">
        <f>IFERROR(J3/$J$22,"-")</f>
        <v>3.7580019794370187E-2</v>
      </c>
      <c r="L3" s="8">
        <v>14506</v>
      </c>
      <c r="M3" s="7">
        <f>IFERROR(L3/$L$22,"-")</f>
        <v>9.9548784463087819E-3</v>
      </c>
      <c r="N3" s="8">
        <f>B3+D3+F3+H3+J3+L3</f>
        <v>5050179</v>
      </c>
      <c r="O3" s="7">
        <f>IFERROR(N3/$N$22,"-")</f>
        <v>5.8620715752374167E-2</v>
      </c>
    </row>
    <row r="4" spans="1:15" x14ac:dyDescent="0.45">
      <c r="A4" s="5" t="s">
        <v>40</v>
      </c>
      <c r="B4" s="6">
        <v>608</v>
      </c>
      <c r="C4" s="7">
        <f t="shared" ref="C4:C22" si="0">IFERROR(B4/$B$22,"-")</f>
        <v>2.8113395565971898E-5</v>
      </c>
      <c r="D4" s="8">
        <v>161</v>
      </c>
      <c r="E4" s="7">
        <f t="shared" ref="E4:E22" si="1">IFERROR(D4/$D$22,"-")</f>
        <v>6.6382984548473863E-6</v>
      </c>
      <c r="F4" s="8">
        <v>617</v>
      </c>
      <c r="G4" s="7">
        <f t="shared" ref="G4:G22" si="2">IFERROR(F4/$F$22,"-")</f>
        <v>2.9745532035480007E-5</v>
      </c>
      <c r="H4" s="8">
        <v>431</v>
      </c>
      <c r="I4" s="7">
        <f t="shared" ref="I4:I22" si="3">IFERROR(H4/$H$22,"-")</f>
        <v>2.8673814141525963E-5</v>
      </c>
      <c r="J4" s="8">
        <v>80</v>
      </c>
      <c r="K4" s="7">
        <f t="shared" ref="K4:K22" si="4">IFERROR(J4/$J$22,"-")</f>
        <v>2.632230077966655E-5</v>
      </c>
      <c r="L4" s="10">
        <v>0</v>
      </c>
      <c r="M4" s="7">
        <f t="shared" ref="M4:M22" si="5">IFERROR(L4/$L$22,"-")</f>
        <v>0</v>
      </c>
      <c r="N4" s="8">
        <f>B4+D4+F4+H4+J4+L4</f>
        <v>1897</v>
      </c>
      <c r="O4" s="7">
        <f t="shared" ref="O4:O21" si="6">IFERROR(N4/$N$22,"-")</f>
        <v>2.2019714109589736E-5</v>
      </c>
    </row>
    <row r="5" spans="1:15" x14ac:dyDescent="0.45">
      <c r="A5" s="11" t="s">
        <v>38</v>
      </c>
      <c r="B5" s="6">
        <v>1622</v>
      </c>
      <c r="C5" s="7">
        <f t="shared" si="0"/>
        <v>7.4999880934221083E-5</v>
      </c>
      <c r="D5" s="8">
        <v>619</v>
      </c>
      <c r="E5" s="7">
        <f t="shared" si="1"/>
        <v>2.5522402133854238E-5</v>
      </c>
      <c r="F5" s="8">
        <v>514</v>
      </c>
      <c r="G5" s="7">
        <f t="shared" si="2"/>
        <v>2.4779908373155145E-5</v>
      </c>
      <c r="H5" s="8">
        <v>806</v>
      </c>
      <c r="I5" s="7">
        <f t="shared" si="3"/>
        <v>5.3622028301786373E-5</v>
      </c>
      <c r="J5" s="8">
        <v>25</v>
      </c>
      <c r="K5" s="7">
        <f t="shared" si="4"/>
        <v>8.2257189936457962E-6</v>
      </c>
      <c r="L5" s="10">
        <v>0</v>
      </c>
      <c r="M5" s="7">
        <f t="shared" si="5"/>
        <v>0</v>
      </c>
      <c r="N5" s="8">
        <f t="shared" ref="N5:N21" si="7">B5+D5+F5+H5+J5+L5</f>
        <v>3586</v>
      </c>
      <c r="O5" s="7">
        <f t="shared" si="6"/>
        <v>4.1625036793352032E-5</v>
      </c>
    </row>
    <row r="6" spans="1:15" x14ac:dyDescent="0.45">
      <c r="A6" s="5" t="s">
        <v>12</v>
      </c>
      <c r="B6" s="6">
        <v>926799</v>
      </c>
      <c r="C6" s="7">
        <f t="shared" si="0"/>
        <v>4.2854386343992086E-2</v>
      </c>
      <c r="D6" s="8">
        <v>586309</v>
      </c>
      <c r="E6" s="7">
        <f t="shared" si="1"/>
        <v>2.4174497694180848E-2</v>
      </c>
      <c r="F6" s="8">
        <v>734656</v>
      </c>
      <c r="G6" s="7">
        <f t="shared" si="2"/>
        <v>3.5417720556009079E-2</v>
      </c>
      <c r="H6" s="8">
        <v>487905</v>
      </c>
      <c r="I6" s="7">
        <f t="shared" si="3"/>
        <v>3.2459622479631613E-2</v>
      </c>
      <c r="J6" s="8">
        <v>60813</v>
      </c>
      <c r="K6" s="7">
        <f t="shared" si="4"/>
        <v>2.0009225966423273E-2</v>
      </c>
      <c r="L6" s="8">
        <v>76818</v>
      </c>
      <c r="M6" s="7">
        <f t="shared" si="5"/>
        <v>5.2717072417520203E-2</v>
      </c>
      <c r="N6" s="8">
        <f t="shared" si="7"/>
        <v>2873300</v>
      </c>
      <c r="O6" s="7">
        <f t="shared" si="6"/>
        <v>3.3352263864567314E-2</v>
      </c>
    </row>
    <row r="7" spans="1:15" x14ac:dyDescent="0.45">
      <c r="A7" s="5" t="s">
        <v>18</v>
      </c>
      <c r="B7" s="6">
        <v>4061</v>
      </c>
      <c r="C7" s="7">
        <f t="shared" si="0"/>
        <v>1.8777713716021689E-4</v>
      </c>
      <c r="D7" s="8">
        <v>5396</v>
      </c>
      <c r="E7" s="7">
        <f t="shared" si="1"/>
        <v>2.2248607740594099E-4</v>
      </c>
      <c r="F7" s="8">
        <v>5810</v>
      </c>
      <c r="G7" s="7">
        <f t="shared" si="2"/>
        <v>2.8009974250589766E-4</v>
      </c>
      <c r="H7" s="8">
        <v>3595</v>
      </c>
      <c r="I7" s="7">
        <f t="shared" si="3"/>
        <v>2.3917021308302979E-4</v>
      </c>
      <c r="J7" s="8">
        <v>1765</v>
      </c>
      <c r="K7" s="7">
        <f t="shared" si="4"/>
        <v>5.8073576095139324E-4</v>
      </c>
      <c r="L7" s="8">
        <v>172</v>
      </c>
      <c r="M7" s="7">
        <f t="shared" si="5"/>
        <v>1.1803661193748177E-4</v>
      </c>
      <c r="N7" s="8">
        <f t="shared" si="7"/>
        <v>20799</v>
      </c>
      <c r="O7" s="7">
        <f t="shared" si="6"/>
        <v>2.414275349316589E-4</v>
      </c>
    </row>
    <row r="8" spans="1:15" x14ac:dyDescent="0.45">
      <c r="A8" s="5" t="s">
        <v>22</v>
      </c>
      <c r="B8" s="6">
        <v>303</v>
      </c>
      <c r="C8" s="7">
        <f t="shared" si="0"/>
        <v>1.4010458645541916E-5</v>
      </c>
      <c r="D8" s="8">
        <v>745</v>
      </c>
      <c r="E8" s="7">
        <f t="shared" si="1"/>
        <v>3.0717592228952189E-5</v>
      </c>
      <c r="F8" s="8">
        <v>131</v>
      </c>
      <c r="G8" s="7">
        <f t="shared" si="2"/>
        <v>6.3155019394617196E-6</v>
      </c>
      <c r="H8" s="8">
        <v>860</v>
      </c>
      <c r="I8" s="7">
        <f t="shared" si="3"/>
        <v>5.721457114086387E-5</v>
      </c>
      <c r="J8" s="8">
        <v>6</v>
      </c>
      <c r="K8" s="7">
        <f t="shared" si="4"/>
        <v>1.9741725584749914E-6</v>
      </c>
      <c r="L8" s="10">
        <v>0</v>
      </c>
      <c r="M8" s="7">
        <f t="shared" si="5"/>
        <v>0</v>
      </c>
      <c r="N8" s="8">
        <f t="shared" si="7"/>
        <v>2045</v>
      </c>
      <c r="O8" s="7">
        <f t="shared" si="6"/>
        <v>2.3737646470274651E-5</v>
      </c>
    </row>
    <row r="9" spans="1:15" x14ac:dyDescent="0.45">
      <c r="A9" s="11" t="s">
        <v>37</v>
      </c>
      <c r="B9" s="6">
        <v>1627007</v>
      </c>
      <c r="C9" s="7">
        <f t="shared" si="0"/>
        <v>7.5231400295403358E-2</v>
      </c>
      <c r="D9" s="8">
        <v>1160882</v>
      </c>
      <c r="E9" s="7">
        <f t="shared" si="1"/>
        <v>4.7865100539503998E-2</v>
      </c>
      <c r="F9" s="8">
        <v>1384920</v>
      </c>
      <c r="G9" s="7">
        <f t="shared" si="2"/>
        <v>6.6766907984727675E-2</v>
      </c>
      <c r="H9" s="8">
        <v>968867</v>
      </c>
      <c r="I9" s="7">
        <f t="shared" si="3"/>
        <v>6.4457337090157385E-2</v>
      </c>
      <c r="J9" s="8">
        <v>127643</v>
      </c>
      <c r="K9" s="7">
        <f t="shared" si="4"/>
        <v>4.1998217980237215E-2</v>
      </c>
      <c r="L9" s="8">
        <v>81908</v>
      </c>
      <c r="M9" s="7">
        <f t="shared" si="5"/>
        <v>5.6210132619623585E-2</v>
      </c>
      <c r="N9" s="8">
        <f t="shared" si="7"/>
        <v>5351227</v>
      </c>
      <c r="O9" s="7">
        <f t="shared" si="6"/>
        <v>6.2115175896424651E-2</v>
      </c>
    </row>
    <row r="10" spans="1:15" x14ac:dyDescent="0.45">
      <c r="A10" s="5" t="s">
        <v>17</v>
      </c>
      <c r="B10" s="6">
        <v>288225</v>
      </c>
      <c r="C10" s="7">
        <f t="shared" si="0"/>
        <v>1.3327275389806333E-2</v>
      </c>
      <c r="D10" s="8">
        <v>169263</v>
      </c>
      <c r="E10" s="7">
        <f t="shared" si="1"/>
        <v>6.9789957227505165E-3</v>
      </c>
      <c r="F10" s="8">
        <v>261493</v>
      </c>
      <c r="G10" s="7">
        <f t="shared" si="2"/>
        <v>1.2606561440119568E-2</v>
      </c>
      <c r="H10" s="8">
        <v>145277</v>
      </c>
      <c r="I10" s="7">
        <f t="shared" si="3"/>
        <v>9.6650712228270701E-3</v>
      </c>
      <c r="J10" s="8">
        <v>23120</v>
      </c>
      <c r="K10" s="7">
        <f t="shared" si="4"/>
        <v>7.6071449253236325E-3</v>
      </c>
      <c r="L10" s="8">
        <v>11702</v>
      </c>
      <c r="M10" s="7">
        <f t="shared" si="5"/>
        <v>8.0306071679791379E-3</v>
      </c>
      <c r="N10" s="8">
        <f t="shared" si="7"/>
        <v>899080</v>
      </c>
      <c r="O10" s="7">
        <f t="shared" si="6"/>
        <v>1.0436206938139136E-2</v>
      </c>
    </row>
    <row r="11" spans="1:15" x14ac:dyDescent="0.45">
      <c r="A11" s="5" t="s">
        <v>20</v>
      </c>
      <c r="B11" s="6">
        <v>645</v>
      </c>
      <c r="C11" s="7">
        <f t="shared" si="0"/>
        <v>2.9824243651401109E-5</v>
      </c>
      <c r="D11" s="8">
        <v>1817</v>
      </c>
      <c r="E11" s="7">
        <f t="shared" si="1"/>
        <v>7.4917939704706221E-5</v>
      </c>
      <c r="F11" s="8">
        <v>264</v>
      </c>
      <c r="G11" s="7">
        <f t="shared" si="2"/>
        <v>1.2727423755861786E-5</v>
      </c>
      <c r="H11" s="8">
        <v>275</v>
      </c>
      <c r="I11" s="7">
        <f t="shared" si="3"/>
        <v>1.8295357050857634E-5</v>
      </c>
      <c r="J11" s="8">
        <v>643</v>
      </c>
      <c r="K11" s="7">
        <f t="shared" si="4"/>
        <v>2.1156549251656988E-4</v>
      </c>
      <c r="L11" s="8">
        <v>178</v>
      </c>
      <c r="M11" s="7">
        <f t="shared" si="5"/>
        <v>1.2215416816785903E-4</v>
      </c>
      <c r="N11" s="8">
        <f t="shared" si="7"/>
        <v>3822</v>
      </c>
      <c r="O11" s="7">
        <f t="shared" si="6"/>
        <v>4.4364442449579325E-5</v>
      </c>
    </row>
    <row r="12" spans="1:15" x14ac:dyDescent="0.45">
      <c r="A12" s="5" t="s">
        <v>7</v>
      </c>
      <c r="B12" s="6">
        <v>5712401</v>
      </c>
      <c r="C12" s="7">
        <f>IFERROR(B12/$B$22,"-")</f>
        <v>0.26413649497442998</v>
      </c>
      <c r="D12" s="8">
        <v>9556707</v>
      </c>
      <c r="E12" s="7">
        <f t="shared" si="1"/>
        <v>0.39403896466788324</v>
      </c>
      <c r="F12" s="8">
        <v>5731715</v>
      </c>
      <c r="G12" s="7">
        <f t="shared" si="2"/>
        <v>0.2763256274728384</v>
      </c>
      <c r="H12" s="8">
        <v>4801927</v>
      </c>
      <c r="I12" s="7">
        <f t="shared" si="3"/>
        <v>0.31946534180783143</v>
      </c>
      <c r="J12" s="8">
        <v>1132351</v>
      </c>
      <c r="K12" s="7">
        <f t="shared" si="4"/>
        <v>0.37257604512695247</v>
      </c>
      <c r="L12" s="8">
        <v>164354</v>
      </c>
      <c r="M12" s="7">
        <f t="shared" si="5"/>
        <v>0.11278947278123767</v>
      </c>
      <c r="N12" s="8">
        <f t="shared" si="7"/>
        <v>27099455</v>
      </c>
      <c r="O12" s="7">
        <f t="shared" si="6"/>
        <v>0.31456101825286881</v>
      </c>
    </row>
    <row r="13" spans="1:15" x14ac:dyDescent="0.45">
      <c r="A13" s="5" t="s">
        <v>25</v>
      </c>
      <c r="B13" s="10">
        <v>0</v>
      </c>
      <c r="C13" s="7">
        <f t="shared" si="0"/>
        <v>0</v>
      </c>
      <c r="D13" s="8">
        <v>95</v>
      </c>
      <c r="E13" s="7">
        <f t="shared" si="1"/>
        <v>3.9170084050341725E-6</v>
      </c>
      <c r="F13" s="8">
        <v>49</v>
      </c>
      <c r="G13" s="7">
        <f t="shared" si="2"/>
        <v>2.362286984989498E-6</v>
      </c>
      <c r="H13" s="8">
        <v>95</v>
      </c>
      <c r="I13" s="7">
        <f t="shared" si="3"/>
        <v>6.3202142539326366E-6</v>
      </c>
      <c r="J13" s="10">
        <v>0</v>
      </c>
      <c r="K13" s="7">
        <f t="shared" si="4"/>
        <v>0</v>
      </c>
      <c r="L13" s="10">
        <v>0</v>
      </c>
      <c r="M13" s="7">
        <f t="shared" si="5"/>
        <v>0</v>
      </c>
      <c r="N13" s="8">
        <f t="shared" si="7"/>
        <v>239</v>
      </c>
      <c r="O13" s="7">
        <f t="shared" si="6"/>
        <v>2.7742286094844215E-6</v>
      </c>
    </row>
    <row r="14" spans="1:15" x14ac:dyDescent="0.45">
      <c r="A14" s="5" t="s">
        <v>34</v>
      </c>
      <c r="B14" s="6">
        <v>413932</v>
      </c>
      <c r="C14" s="7">
        <f t="shared" si="0"/>
        <v>1.9139858640483353E-2</v>
      </c>
      <c r="D14" s="8">
        <v>644522</v>
      </c>
      <c r="E14" s="7">
        <f t="shared" si="1"/>
        <v>2.6574716749783525E-2</v>
      </c>
      <c r="F14" s="8">
        <v>622312</v>
      </c>
      <c r="G14" s="7">
        <f t="shared" si="2"/>
        <v>3.0001623228628257E-2</v>
      </c>
      <c r="H14" s="8">
        <v>387889</v>
      </c>
      <c r="I14" s="7">
        <f t="shared" si="3"/>
        <v>2.5805700913091333E-2</v>
      </c>
      <c r="J14" s="8">
        <v>73545</v>
      </c>
      <c r="K14" s="7">
        <f t="shared" si="4"/>
        <v>2.4198420135507204E-2</v>
      </c>
      <c r="L14" s="8">
        <v>54447</v>
      </c>
      <c r="M14" s="7">
        <f t="shared" si="5"/>
        <v>3.7364764012558546E-2</v>
      </c>
      <c r="N14" s="8">
        <f t="shared" si="7"/>
        <v>2196647</v>
      </c>
      <c r="O14" s="7">
        <f t="shared" si="6"/>
        <v>2.5497911934469146E-2</v>
      </c>
    </row>
    <row r="15" spans="1:15" x14ac:dyDescent="0.45">
      <c r="A15" s="5" t="s">
        <v>41</v>
      </c>
      <c r="B15" s="6">
        <v>121</v>
      </c>
      <c r="C15" s="7">
        <f t="shared" si="0"/>
        <v>5.5949356307279599E-6</v>
      </c>
      <c r="D15" s="8">
        <v>67</v>
      </c>
      <c r="E15" s="7">
        <f t="shared" si="1"/>
        <v>2.7625217172346266E-6</v>
      </c>
      <c r="F15" s="10">
        <v>0</v>
      </c>
      <c r="G15" s="7">
        <f t="shared" si="2"/>
        <v>0</v>
      </c>
      <c r="H15" s="10">
        <v>0</v>
      </c>
      <c r="I15" s="7">
        <f t="shared" si="3"/>
        <v>0</v>
      </c>
      <c r="J15" s="10">
        <v>0</v>
      </c>
      <c r="K15" s="7">
        <f t="shared" si="4"/>
        <v>0</v>
      </c>
      <c r="L15" s="10">
        <v>0</v>
      </c>
      <c r="M15" s="7">
        <f t="shared" si="5"/>
        <v>0</v>
      </c>
      <c r="N15" s="8">
        <f t="shared" si="7"/>
        <v>188</v>
      </c>
      <c r="O15" s="7">
        <f t="shared" si="6"/>
        <v>2.1822384041132687E-6</v>
      </c>
    </row>
    <row r="16" spans="1:15" x14ac:dyDescent="0.45">
      <c r="A16" s="5" t="s">
        <v>35</v>
      </c>
      <c r="B16" s="6">
        <v>297630</v>
      </c>
      <c r="C16" s="7">
        <f t="shared" si="0"/>
        <v>1.376215447746746E-2</v>
      </c>
      <c r="D16" s="8">
        <v>263283</v>
      </c>
      <c r="E16" s="7">
        <f t="shared" si="1"/>
        <v>1.0855597093711705E-2</v>
      </c>
      <c r="F16" s="8">
        <v>260764</v>
      </c>
      <c r="G16" s="7">
        <f t="shared" si="2"/>
        <v>1.257141639497554E-2</v>
      </c>
      <c r="H16" s="8">
        <v>195686</v>
      </c>
      <c r="I16" s="7">
        <f t="shared" si="3"/>
        <v>1.3018709963105916E-2</v>
      </c>
      <c r="J16" s="8">
        <v>26101</v>
      </c>
      <c r="K16" s="7">
        <f t="shared" si="4"/>
        <v>8.5879796581259573E-3</v>
      </c>
      <c r="L16" s="8">
        <v>14239</v>
      </c>
      <c r="M16" s="7">
        <f t="shared" si="5"/>
        <v>9.7716471940569941E-3</v>
      </c>
      <c r="N16" s="8">
        <f t="shared" si="7"/>
        <v>1057703</v>
      </c>
      <c r="O16" s="7">
        <f t="shared" si="6"/>
        <v>1.2277447376307536E-2</v>
      </c>
    </row>
    <row r="17" spans="1:15" x14ac:dyDescent="0.45">
      <c r="A17" s="5" t="s">
        <v>39</v>
      </c>
      <c r="B17" s="6">
        <v>679874</v>
      </c>
      <c r="C17" s="7">
        <f t="shared" si="0"/>
        <v>3.1436787330624306E-2</v>
      </c>
      <c r="D17" s="8">
        <v>375374</v>
      </c>
      <c r="E17" s="7">
        <f t="shared" si="1"/>
        <v>1.5477295926645235E-2</v>
      </c>
      <c r="F17" s="8">
        <v>881163</v>
      </c>
      <c r="G17" s="7">
        <f t="shared" si="2"/>
        <v>4.2480814011312269E-2</v>
      </c>
      <c r="H17" s="8">
        <v>417156</v>
      </c>
      <c r="I17" s="7">
        <f t="shared" si="3"/>
        <v>2.7752792603300241E-2</v>
      </c>
      <c r="J17" s="8">
        <v>38412</v>
      </c>
      <c r="K17" s="7">
        <f t="shared" si="4"/>
        <v>1.2638652719356894E-2</v>
      </c>
      <c r="L17" s="8">
        <v>17618</v>
      </c>
      <c r="M17" s="7">
        <f t="shared" si="5"/>
        <v>1.2090517611131127E-2</v>
      </c>
      <c r="N17" s="8">
        <f t="shared" si="7"/>
        <v>2409597</v>
      </c>
      <c r="O17" s="7">
        <f t="shared" si="6"/>
        <v>2.796976123317085E-2</v>
      </c>
    </row>
    <row r="18" spans="1:15" x14ac:dyDescent="0.45">
      <c r="A18" s="5" t="s">
        <v>13</v>
      </c>
      <c r="B18" s="6">
        <v>925672</v>
      </c>
      <c r="C18" s="7">
        <f t="shared" si="0"/>
        <v>4.2802274836092662E-2</v>
      </c>
      <c r="D18" s="8">
        <v>585156</v>
      </c>
      <c r="E18" s="7">
        <f t="shared" si="1"/>
        <v>2.412695758164396E-2</v>
      </c>
      <c r="F18" s="8">
        <v>732619</v>
      </c>
      <c r="G18" s="7">
        <f t="shared" si="2"/>
        <v>3.5319516911347368E-2</v>
      </c>
      <c r="H18" s="8">
        <v>486977</v>
      </c>
      <c r="I18" s="7">
        <f t="shared" si="3"/>
        <v>3.2397883965656356E-2</v>
      </c>
      <c r="J18" s="8">
        <v>61466</v>
      </c>
      <c r="K18" s="7">
        <f t="shared" si="4"/>
        <v>2.0224081746537302E-2</v>
      </c>
      <c r="L18" s="8">
        <v>76683</v>
      </c>
      <c r="M18" s="7">
        <f t="shared" si="5"/>
        <v>5.2624427402336714E-2</v>
      </c>
      <c r="N18" s="8">
        <f t="shared" si="7"/>
        <v>2868573</v>
      </c>
      <c r="O18" s="7">
        <f t="shared" si="6"/>
        <v>3.3297394497885165E-2</v>
      </c>
    </row>
    <row r="19" spans="1:15" x14ac:dyDescent="0.45">
      <c r="A19" s="5" t="s">
        <v>5</v>
      </c>
      <c r="B19" s="6">
        <v>6727949</v>
      </c>
      <c r="C19" s="7">
        <f t="shared" si="0"/>
        <v>0.31109455852744256</v>
      </c>
      <c r="D19" s="8">
        <v>7876235</v>
      </c>
      <c r="E19" s="7">
        <f t="shared" si="1"/>
        <v>0.32475030205288763</v>
      </c>
      <c r="F19" s="8">
        <v>6724787</v>
      </c>
      <c r="G19" s="7">
        <f t="shared" si="2"/>
        <v>0.32420156748829743</v>
      </c>
      <c r="H19" s="8">
        <v>4865526</v>
      </c>
      <c r="I19" s="7">
        <f t="shared" si="3"/>
        <v>0.32369649240084047</v>
      </c>
      <c r="J19" s="8">
        <v>1139257</v>
      </c>
      <c r="K19" s="7">
        <f t="shared" si="4"/>
        <v>0.3748483177417572</v>
      </c>
      <c r="L19" s="8">
        <v>769304</v>
      </c>
      <c r="M19" s="7">
        <f t="shared" si="5"/>
        <v>0.52794207970902607</v>
      </c>
      <c r="N19" s="8">
        <f t="shared" si="7"/>
        <v>28103058</v>
      </c>
      <c r="O19" s="7">
        <f t="shared" si="6"/>
        <v>0.32621049170543953</v>
      </c>
    </row>
    <row r="20" spans="1:15" x14ac:dyDescent="0.45">
      <c r="A20" s="5" t="s">
        <v>11</v>
      </c>
      <c r="B20" s="6">
        <v>1112486</v>
      </c>
      <c r="C20" s="7">
        <f t="shared" si="0"/>
        <v>5.1440393058562191E-2</v>
      </c>
      <c r="D20" s="8">
        <v>681136</v>
      </c>
      <c r="E20" s="7">
        <f t="shared" si="1"/>
        <v>2.8084373020751115E-2</v>
      </c>
      <c r="F20" s="8">
        <v>836392</v>
      </c>
      <c r="G20" s="7">
        <f t="shared" si="2"/>
        <v>4.0322406856108904E-2</v>
      </c>
      <c r="H20" s="8">
        <v>591692</v>
      </c>
      <c r="I20" s="7">
        <f t="shared" si="3"/>
        <v>3.9364423287767472E-2</v>
      </c>
      <c r="J20" s="8">
        <v>79429</v>
      </c>
      <c r="K20" s="7">
        <f t="shared" si="4"/>
        <v>2.6134425357851678E-2</v>
      </c>
      <c r="L20" s="8">
        <v>84654</v>
      </c>
      <c r="M20" s="7">
        <f t="shared" si="5"/>
        <v>5.8094600854392921E-2</v>
      </c>
      <c r="N20" s="8">
        <f t="shared" si="7"/>
        <v>3385789</v>
      </c>
      <c r="O20" s="7">
        <f t="shared" si="6"/>
        <v>3.930105736183117E-2</v>
      </c>
    </row>
    <row r="21" spans="1:15" x14ac:dyDescent="0.45">
      <c r="A21" s="5" t="s">
        <v>9</v>
      </c>
      <c r="B21" s="6">
        <v>1584982</v>
      </c>
      <c r="C21" s="7">
        <f t="shared" si="0"/>
        <v>7.328820054431788E-2</v>
      </c>
      <c r="D21" s="8">
        <v>909521</v>
      </c>
      <c r="E21" s="7">
        <f t="shared" si="1"/>
        <v>3.7501067384790372E-2</v>
      </c>
      <c r="F21" s="8">
        <v>1380049</v>
      </c>
      <c r="G21" s="7">
        <f t="shared" si="2"/>
        <v>6.6532077374444332E-2</v>
      </c>
      <c r="H21" s="8">
        <v>697369</v>
      </c>
      <c r="I21" s="7">
        <f t="shared" si="3"/>
        <v>4.6394963095271045E-2</v>
      </c>
      <c r="J21" s="8">
        <v>160377</v>
      </c>
      <c r="K21" s="7">
        <f t="shared" si="4"/>
        <v>5.2768645401757276E-2</v>
      </c>
      <c r="L21" s="8">
        <v>90592</v>
      </c>
      <c r="M21" s="7">
        <f t="shared" si="5"/>
        <v>6.216960900372296E-2</v>
      </c>
      <c r="N21" s="8">
        <f t="shared" si="7"/>
        <v>4822890</v>
      </c>
      <c r="O21" s="7">
        <f t="shared" si="6"/>
        <v>5.5982424344754478E-2</v>
      </c>
    </row>
    <row r="22" spans="1:15" s="16" customFormat="1" ht="19.2" customHeight="1" x14ac:dyDescent="0.45">
      <c r="A22" s="12" t="s">
        <v>36</v>
      </c>
      <c r="B22" s="13">
        <v>21626701</v>
      </c>
      <c r="C22" s="14">
        <f t="shared" si="0"/>
        <v>1</v>
      </c>
      <c r="D22" s="15">
        <v>24253203</v>
      </c>
      <c r="E22" s="14">
        <f t="shared" si="1"/>
        <v>1</v>
      </c>
      <c r="F22" s="15">
        <v>20742611</v>
      </c>
      <c r="G22" s="14">
        <f t="shared" si="2"/>
        <v>1</v>
      </c>
      <c r="H22" s="15">
        <v>15031136</v>
      </c>
      <c r="I22" s="14">
        <f t="shared" si="3"/>
        <v>1</v>
      </c>
      <c r="J22" s="15">
        <v>3039248</v>
      </c>
      <c r="K22" s="14">
        <f t="shared" si="4"/>
        <v>1</v>
      </c>
      <c r="L22" s="15">
        <v>1457175</v>
      </c>
      <c r="M22" s="14">
        <f t="shared" si="5"/>
        <v>1</v>
      </c>
      <c r="N22" s="15">
        <f>SUM(N3:N21)</f>
        <v>86150074</v>
      </c>
      <c r="O22" s="14">
        <f>IFERROR(N22/$N$22,"-")</f>
        <v>1</v>
      </c>
    </row>
  </sheetData>
  <mergeCells count="7">
    <mergeCell ref="N2:O2"/>
    <mergeCell ref="B2:C2"/>
    <mergeCell ref="D2:E2"/>
    <mergeCell ref="F2:G2"/>
    <mergeCell ref="H2:I2"/>
    <mergeCell ref="J2:K2"/>
    <mergeCell ref="L2:M2"/>
  </mergeCells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241D-0E34-401D-A96E-F2119BAA7AEE}">
  <dimension ref="A1"/>
  <sheetViews>
    <sheetView workbookViewId="0">
      <selection activeCell="A5" sqref="A1:XFD5"/>
    </sheetView>
  </sheetViews>
  <sheetFormatPr defaultRowHeight="18" x14ac:dyDescent="0.45"/>
  <sheetData>
    <row r="1" spans="1:1" x14ac:dyDescent="0.45">
      <c r="A1" t="s">
        <v>42</v>
      </c>
    </row>
  </sheetData>
  <phoneticPr fontId="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5314F-7F3C-4E15-8153-B65CE8D58F9B}">
  <dimension ref="A1:H22"/>
  <sheetViews>
    <sheetView workbookViewId="0">
      <selection activeCell="A2" sqref="A2"/>
    </sheetView>
  </sheetViews>
  <sheetFormatPr defaultRowHeight="18" x14ac:dyDescent="0.45"/>
  <cols>
    <col min="1" max="1" width="59.796875" bestFit="1" customWidth="1"/>
    <col min="2" max="2" width="10.59765625" bestFit="1" customWidth="1"/>
    <col min="3" max="6" width="9.3984375" bestFit="1" customWidth="1"/>
    <col min="7" max="7" width="8.3984375" bestFit="1" customWidth="1"/>
    <col min="8" max="8" width="9.3984375" bestFit="1" customWidth="1"/>
  </cols>
  <sheetData>
    <row r="1" spans="1:8" x14ac:dyDescent="0.45">
      <c r="A1" s="1" t="s">
        <v>33</v>
      </c>
      <c r="B1" s="1" t="s">
        <v>30</v>
      </c>
    </row>
    <row r="2" spans="1:8" x14ac:dyDescent="0.45">
      <c r="A2" s="1" t="s">
        <v>32</v>
      </c>
      <c r="B2" t="s">
        <v>29</v>
      </c>
      <c r="C2" t="s">
        <v>6</v>
      </c>
      <c r="D2" t="s">
        <v>26</v>
      </c>
      <c r="E2" t="s">
        <v>27</v>
      </c>
      <c r="F2" t="s">
        <v>24</v>
      </c>
      <c r="G2" t="s">
        <v>28</v>
      </c>
      <c r="H2" t="s">
        <v>31</v>
      </c>
    </row>
    <row r="3" spans="1:8" x14ac:dyDescent="0.45">
      <c r="A3" s="2" t="s">
        <v>10</v>
      </c>
      <c r="B3">
        <v>14506</v>
      </c>
      <c r="C3">
        <v>1322384</v>
      </c>
      <c r="D3">
        <v>1435915</v>
      </c>
      <c r="E3">
        <v>1184356</v>
      </c>
      <c r="F3">
        <v>978803</v>
      </c>
      <c r="G3">
        <v>114215</v>
      </c>
      <c r="H3">
        <v>5050179</v>
      </c>
    </row>
    <row r="4" spans="1:8" x14ac:dyDescent="0.45">
      <c r="A4" s="2" t="s">
        <v>21</v>
      </c>
      <c r="C4">
        <v>608</v>
      </c>
      <c r="D4">
        <v>161</v>
      </c>
      <c r="E4">
        <v>617</v>
      </c>
      <c r="F4">
        <v>431</v>
      </c>
      <c r="G4">
        <v>80</v>
      </c>
      <c r="H4">
        <v>1897</v>
      </c>
    </row>
    <row r="5" spans="1:8" x14ac:dyDescent="0.45">
      <c r="A5" s="2" t="s">
        <v>19</v>
      </c>
      <c r="C5">
        <v>1622</v>
      </c>
      <c r="D5">
        <v>619</v>
      </c>
      <c r="E5">
        <v>514</v>
      </c>
      <c r="F5">
        <v>806</v>
      </c>
      <c r="G5">
        <v>25</v>
      </c>
      <c r="H5">
        <v>3586</v>
      </c>
    </row>
    <row r="6" spans="1:8" x14ac:dyDescent="0.45">
      <c r="A6" s="2" t="s">
        <v>12</v>
      </c>
      <c r="B6">
        <v>76818</v>
      </c>
      <c r="C6">
        <v>926799</v>
      </c>
      <c r="D6">
        <v>586309</v>
      </c>
      <c r="E6">
        <v>734656</v>
      </c>
      <c r="F6">
        <v>487905</v>
      </c>
      <c r="G6">
        <v>60813</v>
      </c>
      <c r="H6">
        <v>2873300</v>
      </c>
    </row>
    <row r="7" spans="1:8" x14ac:dyDescent="0.45">
      <c r="A7" s="2" t="s">
        <v>18</v>
      </c>
      <c r="B7">
        <v>172</v>
      </c>
      <c r="C7">
        <v>4061</v>
      </c>
      <c r="D7">
        <v>5396</v>
      </c>
      <c r="E7">
        <v>5810</v>
      </c>
      <c r="F7">
        <v>3595</v>
      </c>
      <c r="G7">
        <v>1765</v>
      </c>
      <c r="H7">
        <v>20799</v>
      </c>
    </row>
    <row r="8" spans="1:8" x14ac:dyDescent="0.45">
      <c r="A8" s="2" t="s">
        <v>22</v>
      </c>
      <c r="C8">
        <v>303</v>
      </c>
      <c r="D8">
        <v>745</v>
      </c>
      <c r="E8">
        <v>131</v>
      </c>
      <c r="F8">
        <v>860</v>
      </c>
      <c r="G8">
        <v>6</v>
      </c>
      <c r="H8">
        <v>2045</v>
      </c>
    </row>
    <row r="9" spans="1:8" x14ac:dyDescent="0.45">
      <c r="A9" s="2" t="s">
        <v>8</v>
      </c>
      <c r="B9">
        <v>81908</v>
      </c>
      <c r="C9">
        <v>1627007</v>
      </c>
      <c r="D9">
        <v>1160882</v>
      </c>
      <c r="E9">
        <v>1384920</v>
      </c>
      <c r="F9">
        <v>968867</v>
      </c>
      <c r="G9">
        <v>127643</v>
      </c>
      <c r="H9">
        <v>5351227</v>
      </c>
    </row>
    <row r="10" spans="1:8" x14ac:dyDescent="0.45">
      <c r="A10" s="2" t="s">
        <v>17</v>
      </c>
      <c r="B10">
        <v>11702</v>
      </c>
      <c r="C10">
        <v>288225</v>
      </c>
      <c r="D10">
        <v>169263</v>
      </c>
      <c r="E10">
        <v>261493</v>
      </c>
      <c r="F10">
        <v>145277</v>
      </c>
      <c r="G10">
        <v>23120</v>
      </c>
      <c r="H10">
        <v>899080</v>
      </c>
    </row>
    <row r="11" spans="1:8" x14ac:dyDescent="0.45">
      <c r="A11" s="2" t="s">
        <v>20</v>
      </c>
      <c r="B11">
        <v>178</v>
      </c>
      <c r="C11">
        <v>645</v>
      </c>
      <c r="D11">
        <v>1817</v>
      </c>
      <c r="E11">
        <v>264</v>
      </c>
      <c r="F11">
        <v>275</v>
      </c>
      <c r="G11">
        <v>643</v>
      </c>
      <c r="H11">
        <v>3822</v>
      </c>
    </row>
    <row r="12" spans="1:8" x14ac:dyDescent="0.45">
      <c r="A12" s="2" t="s">
        <v>7</v>
      </c>
      <c r="B12">
        <v>164354</v>
      </c>
      <c r="C12">
        <v>5712401</v>
      </c>
      <c r="D12">
        <v>9556707</v>
      </c>
      <c r="E12">
        <v>5731715</v>
      </c>
      <c r="F12">
        <v>4801927</v>
      </c>
      <c r="G12">
        <v>1132351</v>
      </c>
      <c r="H12">
        <v>27099455</v>
      </c>
    </row>
    <row r="13" spans="1:8" x14ac:dyDescent="0.45">
      <c r="A13" s="2" t="s">
        <v>25</v>
      </c>
      <c r="D13">
        <v>95</v>
      </c>
      <c r="E13">
        <v>49</v>
      </c>
      <c r="F13">
        <v>95</v>
      </c>
      <c r="H13">
        <v>239</v>
      </c>
    </row>
    <row r="14" spans="1:8" x14ac:dyDescent="0.45">
      <c r="A14" s="2" t="s">
        <v>15</v>
      </c>
      <c r="B14">
        <v>54447</v>
      </c>
      <c r="C14">
        <v>413932</v>
      </c>
      <c r="D14">
        <v>644522</v>
      </c>
      <c r="E14">
        <v>622312</v>
      </c>
      <c r="F14">
        <v>387889</v>
      </c>
      <c r="G14">
        <v>73545</v>
      </c>
      <c r="H14">
        <v>2196647</v>
      </c>
    </row>
    <row r="15" spans="1:8" x14ac:dyDescent="0.45">
      <c r="A15" s="2" t="s">
        <v>23</v>
      </c>
      <c r="C15">
        <v>121</v>
      </c>
      <c r="D15">
        <v>67</v>
      </c>
      <c r="H15">
        <v>188</v>
      </c>
    </row>
    <row r="16" spans="1:8" x14ac:dyDescent="0.45">
      <c r="A16" s="2" t="s">
        <v>16</v>
      </c>
      <c r="B16">
        <v>14239</v>
      </c>
      <c r="C16">
        <v>297630</v>
      </c>
      <c r="D16">
        <v>263283</v>
      </c>
      <c r="E16">
        <v>260764</v>
      </c>
      <c r="F16">
        <v>195686</v>
      </c>
      <c r="G16">
        <v>26101</v>
      </c>
      <c r="H16">
        <v>1057703</v>
      </c>
    </row>
    <row r="17" spans="1:8" x14ac:dyDescent="0.45">
      <c r="A17" s="2" t="s">
        <v>14</v>
      </c>
      <c r="B17">
        <v>17618</v>
      </c>
      <c r="C17">
        <v>679874</v>
      </c>
      <c r="D17">
        <v>375374</v>
      </c>
      <c r="E17">
        <v>881163</v>
      </c>
      <c r="F17">
        <v>417156</v>
      </c>
      <c r="G17">
        <v>38412</v>
      </c>
      <c r="H17">
        <v>2409597</v>
      </c>
    </row>
    <row r="18" spans="1:8" x14ac:dyDescent="0.45">
      <c r="A18" s="2" t="s">
        <v>13</v>
      </c>
      <c r="B18">
        <v>76683</v>
      </c>
      <c r="C18">
        <v>925672</v>
      </c>
      <c r="D18">
        <v>585156</v>
      </c>
      <c r="E18">
        <v>732619</v>
      </c>
      <c r="F18">
        <v>486977</v>
      </c>
      <c r="G18">
        <v>61466</v>
      </c>
      <c r="H18">
        <v>2868573</v>
      </c>
    </row>
    <row r="19" spans="1:8" x14ac:dyDescent="0.45">
      <c r="A19" s="2" t="s">
        <v>5</v>
      </c>
      <c r="B19">
        <v>769304</v>
      </c>
      <c r="C19">
        <v>6727949</v>
      </c>
      <c r="D19">
        <v>7876235</v>
      </c>
      <c r="E19">
        <v>6724787</v>
      </c>
      <c r="F19">
        <v>4865526</v>
      </c>
      <c r="G19">
        <v>1139257</v>
      </c>
      <c r="H19">
        <v>28103058</v>
      </c>
    </row>
    <row r="20" spans="1:8" x14ac:dyDescent="0.45">
      <c r="A20" s="2" t="s">
        <v>11</v>
      </c>
      <c r="B20">
        <v>84654</v>
      </c>
      <c r="C20">
        <v>1112486</v>
      </c>
      <c r="D20">
        <v>681136</v>
      </c>
      <c r="E20">
        <v>836392</v>
      </c>
      <c r="F20">
        <v>591692</v>
      </c>
      <c r="G20">
        <v>79429</v>
      </c>
      <c r="H20">
        <v>3385789</v>
      </c>
    </row>
    <row r="21" spans="1:8" x14ac:dyDescent="0.45">
      <c r="A21" s="2" t="s">
        <v>9</v>
      </c>
      <c r="B21">
        <v>90592</v>
      </c>
      <c r="C21">
        <v>1584982</v>
      </c>
      <c r="D21">
        <v>909521</v>
      </c>
      <c r="E21">
        <v>1380049</v>
      </c>
      <c r="F21">
        <v>697369</v>
      </c>
      <c r="G21">
        <v>160377</v>
      </c>
      <c r="H21">
        <v>4822890</v>
      </c>
    </row>
    <row r="22" spans="1:8" x14ac:dyDescent="0.45">
      <c r="A22" s="2" t="s">
        <v>31</v>
      </c>
      <c r="B22">
        <v>1457175</v>
      </c>
      <c r="C22">
        <v>21626701</v>
      </c>
      <c r="D22">
        <v>24253203</v>
      </c>
      <c r="E22">
        <v>20742611</v>
      </c>
      <c r="F22">
        <v>15031136</v>
      </c>
      <c r="G22">
        <v>3039248</v>
      </c>
      <c r="H22">
        <v>86150074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AF0D-8DE5-4099-BFF0-F0B505715559}">
  <dimension ref="A1:E105"/>
  <sheetViews>
    <sheetView topLeftCell="A8" workbookViewId="0">
      <selection activeCell="I19" sqref="I19"/>
    </sheetView>
  </sheetViews>
  <sheetFormatPr defaultRowHeight="18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3170898</v>
      </c>
      <c r="C2">
        <v>3557051</v>
      </c>
      <c r="D2">
        <v>6727949</v>
      </c>
      <c r="E2" t="s">
        <v>6</v>
      </c>
    </row>
    <row r="3" spans="1:5" x14ac:dyDescent="0.45">
      <c r="A3" t="s">
        <v>7</v>
      </c>
      <c r="B3">
        <v>2995492</v>
      </c>
      <c r="C3">
        <v>2716909</v>
      </c>
      <c r="D3">
        <v>5712401</v>
      </c>
      <c r="E3" t="s">
        <v>6</v>
      </c>
    </row>
    <row r="4" spans="1:5" x14ac:dyDescent="0.45">
      <c r="A4" t="s">
        <v>8</v>
      </c>
      <c r="B4">
        <v>644412</v>
      </c>
      <c r="C4">
        <v>982595</v>
      </c>
      <c r="D4">
        <v>1627007</v>
      </c>
      <c r="E4" t="s">
        <v>6</v>
      </c>
    </row>
    <row r="5" spans="1:5" x14ac:dyDescent="0.45">
      <c r="A5" t="s">
        <v>9</v>
      </c>
      <c r="B5">
        <v>740597</v>
      </c>
      <c r="C5">
        <v>844385</v>
      </c>
      <c r="D5">
        <v>1584982</v>
      </c>
      <c r="E5" t="s">
        <v>6</v>
      </c>
    </row>
    <row r="6" spans="1:5" x14ac:dyDescent="0.45">
      <c r="A6" t="s">
        <v>10</v>
      </c>
      <c r="B6">
        <v>540927</v>
      </c>
      <c r="C6">
        <v>781457</v>
      </c>
      <c r="D6">
        <v>1322384</v>
      </c>
      <c r="E6" t="s">
        <v>6</v>
      </c>
    </row>
    <row r="7" spans="1:5" x14ac:dyDescent="0.45">
      <c r="A7" t="s">
        <v>11</v>
      </c>
      <c r="B7">
        <v>418510</v>
      </c>
      <c r="C7">
        <v>693976</v>
      </c>
      <c r="D7">
        <v>1112486</v>
      </c>
      <c r="E7" t="s">
        <v>6</v>
      </c>
    </row>
    <row r="8" spans="1:5" x14ac:dyDescent="0.45">
      <c r="A8" t="s">
        <v>12</v>
      </c>
      <c r="B8">
        <v>345610</v>
      </c>
      <c r="C8">
        <v>581189</v>
      </c>
      <c r="D8">
        <v>926799</v>
      </c>
      <c r="E8" t="s">
        <v>6</v>
      </c>
    </row>
    <row r="9" spans="1:5" x14ac:dyDescent="0.45">
      <c r="A9" t="s">
        <v>13</v>
      </c>
      <c r="B9">
        <v>345181</v>
      </c>
      <c r="C9">
        <v>580491</v>
      </c>
      <c r="D9">
        <v>925672</v>
      </c>
      <c r="E9" t="s">
        <v>6</v>
      </c>
    </row>
    <row r="10" spans="1:5" x14ac:dyDescent="0.45">
      <c r="A10" t="s">
        <v>14</v>
      </c>
      <c r="B10">
        <v>278569</v>
      </c>
      <c r="C10">
        <v>401305</v>
      </c>
      <c r="D10">
        <v>679874</v>
      </c>
      <c r="E10" t="s">
        <v>6</v>
      </c>
    </row>
    <row r="11" spans="1:5" x14ac:dyDescent="0.45">
      <c r="A11" t="s">
        <v>15</v>
      </c>
      <c r="B11">
        <v>242640</v>
      </c>
      <c r="C11">
        <v>171292</v>
      </c>
      <c r="D11">
        <v>413932</v>
      </c>
      <c r="E11" t="s">
        <v>6</v>
      </c>
    </row>
    <row r="12" spans="1:5" x14ac:dyDescent="0.45">
      <c r="A12" t="s">
        <v>16</v>
      </c>
      <c r="B12">
        <v>137918</v>
      </c>
      <c r="C12">
        <v>159712</v>
      </c>
      <c r="D12">
        <v>297630</v>
      </c>
      <c r="E12" t="s">
        <v>6</v>
      </c>
    </row>
    <row r="13" spans="1:5" x14ac:dyDescent="0.45">
      <c r="A13" t="s">
        <v>17</v>
      </c>
      <c r="B13">
        <v>125195</v>
      </c>
      <c r="C13">
        <v>163030</v>
      </c>
      <c r="D13">
        <v>288225</v>
      </c>
      <c r="E13" t="s">
        <v>6</v>
      </c>
    </row>
    <row r="14" spans="1:5" x14ac:dyDescent="0.45">
      <c r="A14" t="s">
        <v>18</v>
      </c>
      <c r="B14">
        <v>2194</v>
      </c>
      <c r="C14">
        <v>1867</v>
      </c>
      <c r="D14">
        <v>4061</v>
      </c>
      <c r="E14" t="s">
        <v>6</v>
      </c>
    </row>
    <row r="15" spans="1:5" x14ac:dyDescent="0.45">
      <c r="A15" t="s">
        <v>19</v>
      </c>
      <c r="B15">
        <v>806</v>
      </c>
      <c r="C15">
        <v>816</v>
      </c>
      <c r="D15">
        <v>1622</v>
      </c>
      <c r="E15" t="s">
        <v>6</v>
      </c>
    </row>
    <row r="16" spans="1:5" x14ac:dyDescent="0.45">
      <c r="A16" t="s">
        <v>20</v>
      </c>
      <c r="B16">
        <v>525</v>
      </c>
      <c r="C16">
        <v>120</v>
      </c>
      <c r="D16">
        <v>645</v>
      </c>
      <c r="E16" t="s">
        <v>6</v>
      </c>
    </row>
    <row r="17" spans="1:5" x14ac:dyDescent="0.45">
      <c r="A17" t="s">
        <v>21</v>
      </c>
      <c r="B17">
        <v>183</v>
      </c>
      <c r="C17">
        <v>425</v>
      </c>
      <c r="D17">
        <v>608</v>
      </c>
      <c r="E17" t="s">
        <v>6</v>
      </c>
    </row>
    <row r="18" spans="1:5" x14ac:dyDescent="0.45">
      <c r="A18" t="s">
        <v>22</v>
      </c>
      <c r="B18">
        <v>116</v>
      </c>
      <c r="C18">
        <v>187</v>
      </c>
      <c r="D18">
        <v>303</v>
      </c>
      <c r="E18" t="s">
        <v>6</v>
      </c>
    </row>
    <row r="19" spans="1:5" x14ac:dyDescent="0.45">
      <c r="A19" t="s">
        <v>23</v>
      </c>
      <c r="B19">
        <v>4</v>
      </c>
      <c r="C19">
        <v>117</v>
      </c>
      <c r="D19">
        <v>121</v>
      </c>
      <c r="E19" t="s">
        <v>6</v>
      </c>
    </row>
    <row r="20" spans="1:5" x14ac:dyDescent="0.45">
      <c r="A20" t="s">
        <v>5</v>
      </c>
      <c r="B20">
        <v>2317628</v>
      </c>
      <c r="C20">
        <v>2547898</v>
      </c>
      <c r="D20">
        <v>4865526</v>
      </c>
      <c r="E20" t="s">
        <v>24</v>
      </c>
    </row>
    <row r="21" spans="1:5" x14ac:dyDescent="0.45">
      <c r="A21" t="s">
        <v>7</v>
      </c>
      <c r="B21">
        <v>2525171</v>
      </c>
      <c r="C21">
        <v>2276756</v>
      </c>
      <c r="D21">
        <v>4801927</v>
      </c>
      <c r="E21" t="s">
        <v>24</v>
      </c>
    </row>
    <row r="22" spans="1:5" x14ac:dyDescent="0.45">
      <c r="A22" t="s">
        <v>10</v>
      </c>
      <c r="B22">
        <v>378624</v>
      </c>
      <c r="C22">
        <v>600179</v>
      </c>
      <c r="D22">
        <v>978803</v>
      </c>
      <c r="E22" t="s">
        <v>24</v>
      </c>
    </row>
    <row r="23" spans="1:5" x14ac:dyDescent="0.45">
      <c r="A23" t="s">
        <v>8</v>
      </c>
      <c r="B23">
        <v>365160</v>
      </c>
      <c r="C23">
        <v>603707</v>
      </c>
      <c r="D23">
        <v>968867</v>
      </c>
      <c r="E23" t="s">
        <v>24</v>
      </c>
    </row>
    <row r="24" spans="1:5" x14ac:dyDescent="0.45">
      <c r="A24" t="s">
        <v>9</v>
      </c>
      <c r="B24">
        <v>303844</v>
      </c>
      <c r="C24">
        <v>393525</v>
      </c>
      <c r="D24">
        <v>697369</v>
      </c>
      <c r="E24" t="s">
        <v>24</v>
      </c>
    </row>
    <row r="25" spans="1:5" x14ac:dyDescent="0.45">
      <c r="A25" t="s">
        <v>11</v>
      </c>
      <c r="B25">
        <v>213665</v>
      </c>
      <c r="C25">
        <v>378027</v>
      </c>
      <c r="D25">
        <v>591692</v>
      </c>
      <c r="E25" t="s">
        <v>24</v>
      </c>
    </row>
    <row r="26" spans="1:5" x14ac:dyDescent="0.45">
      <c r="A26" t="s">
        <v>12</v>
      </c>
      <c r="B26">
        <v>173448</v>
      </c>
      <c r="C26">
        <v>314457</v>
      </c>
      <c r="D26">
        <v>487905</v>
      </c>
      <c r="E26" t="s">
        <v>24</v>
      </c>
    </row>
    <row r="27" spans="1:5" x14ac:dyDescent="0.45">
      <c r="A27" t="s">
        <v>13</v>
      </c>
      <c r="B27">
        <v>172985</v>
      </c>
      <c r="C27">
        <v>313992</v>
      </c>
      <c r="D27">
        <v>486977</v>
      </c>
      <c r="E27" t="s">
        <v>24</v>
      </c>
    </row>
    <row r="28" spans="1:5" x14ac:dyDescent="0.45">
      <c r="A28" t="s">
        <v>14</v>
      </c>
      <c r="B28">
        <v>156478</v>
      </c>
      <c r="C28">
        <v>260678</v>
      </c>
      <c r="D28">
        <v>417156</v>
      </c>
      <c r="E28" t="s">
        <v>24</v>
      </c>
    </row>
    <row r="29" spans="1:5" x14ac:dyDescent="0.45">
      <c r="A29" t="s">
        <v>15</v>
      </c>
      <c r="B29">
        <v>244531</v>
      </c>
      <c r="C29">
        <v>143358</v>
      </c>
      <c r="D29">
        <v>387889</v>
      </c>
      <c r="E29" t="s">
        <v>24</v>
      </c>
    </row>
    <row r="30" spans="1:5" x14ac:dyDescent="0.45">
      <c r="A30" t="s">
        <v>16</v>
      </c>
      <c r="B30">
        <v>89107</v>
      </c>
      <c r="C30">
        <v>106579</v>
      </c>
      <c r="D30">
        <v>195686</v>
      </c>
      <c r="E30" t="s">
        <v>24</v>
      </c>
    </row>
    <row r="31" spans="1:5" x14ac:dyDescent="0.45">
      <c r="A31" t="s">
        <v>17</v>
      </c>
      <c r="B31">
        <v>49966</v>
      </c>
      <c r="C31">
        <v>95311</v>
      </c>
      <c r="D31">
        <v>145277</v>
      </c>
      <c r="E31" t="s">
        <v>24</v>
      </c>
    </row>
    <row r="32" spans="1:5" x14ac:dyDescent="0.45">
      <c r="A32" t="s">
        <v>18</v>
      </c>
      <c r="B32">
        <v>2094</v>
      </c>
      <c r="C32">
        <v>1501</v>
      </c>
      <c r="D32">
        <v>3595</v>
      </c>
      <c r="E32" t="s">
        <v>24</v>
      </c>
    </row>
    <row r="33" spans="1:5" x14ac:dyDescent="0.45">
      <c r="A33" t="s">
        <v>22</v>
      </c>
      <c r="B33">
        <v>369</v>
      </c>
      <c r="C33">
        <v>491</v>
      </c>
      <c r="D33">
        <v>860</v>
      </c>
      <c r="E33" t="s">
        <v>24</v>
      </c>
    </row>
    <row r="34" spans="1:5" x14ac:dyDescent="0.45">
      <c r="A34" t="s">
        <v>19</v>
      </c>
      <c r="B34">
        <v>305</v>
      </c>
      <c r="C34">
        <v>501</v>
      </c>
      <c r="D34">
        <v>806</v>
      </c>
      <c r="E34" t="s">
        <v>24</v>
      </c>
    </row>
    <row r="35" spans="1:5" x14ac:dyDescent="0.45">
      <c r="A35" t="s">
        <v>21</v>
      </c>
      <c r="B35">
        <v>106</v>
      </c>
      <c r="C35">
        <v>325</v>
      </c>
      <c r="D35">
        <v>431</v>
      </c>
      <c r="E35" t="s">
        <v>24</v>
      </c>
    </row>
    <row r="36" spans="1:5" x14ac:dyDescent="0.45">
      <c r="A36" t="s">
        <v>20</v>
      </c>
      <c r="B36">
        <v>176</v>
      </c>
      <c r="C36">
        <v>99</v>
      </c>
      <c r="D36">
        <v>275</v>
      </c>
      <c r="E36" t="s">
        <v>24</v>
      </c>
    </row>
    <row r="37" spans="1:5" x14ac:dyDescent="0.45">
      <c r="A37" t="s">
        <v>25</v>
      </c>
      <c r="B37">
        <v>22</v>
      </c>
      <c r="C37">
        <v>73</v>
      </c>
      <c r="D37">
        <v>95</v>
      </c>
      <c r="E37" t="s">
        <v>24</v>
      </c>
    </row>
    <row r="38" spans="1:5" x14ac:dyDescent="0.45">
      <c r="A38" t="s">
        <v>7</v>
      </c>
      <c r="B38">
        <v>5344229</v>
      </c>
      <c r="C38">
        <v>4212478</v>
      </c>
      <c r="D38">
        <v>9556707</v>
      </c>
      <c r="E38" t="s">
        <v>26</v>
      </c>
    </row>
    <row r="39" spans="1:5" x14ac:dyDescent="0.45">
      <c r="A39" t="s">
        <v>5</v>
      </c>
      <c r="B39">
        <v>4121851</v>
      </c>
      <c r="C39">
        <v>3754384</v>
      </c>
      <c r="D39">
        <v>7876235</v>
      </c>
      <c r="E39" t="s">
        <v>26</v>
      </c>
    </row>
    <row r="40" spans="1:5" x14ac:dyDescent="0.45">
      <c r="A40" t="s">
        <v>10</v>
      </c>
      <c r="B40">
        <v>627135</v>
      </c>
      <c r="C40">
        <v>808780</v>
      </c>
      <c r="D40">
        <v>1435915</v>
      </c>
      <c r="E40" t="s">
        <v>26</v>
      </c>
    </row>
    <row r="41" spans="1:5" x14ac:dyDescent="0.45">
      <c r="A41" t="s">
        <v>8</v>
      </c>
      <c r="B41">
        <v>494187</v>
      </c>
      <c r="C41">
        <v>666695</v>
      </c>
      <c r="D41">
        <v>1160882</v>
      </c>
      <c r="E41" t="s">
        <v>26</v>
      </c>
    </row>
    <row r="42" spans="1:5" x14ac:dyDescent="0.45">
      <c r="A42" t="s">
        <v>9</v>
      </c>
      <c r="B42">
        <v>399442</v>
      </c>
      <c r="C42">
        <v>510079</v>
      </c>
      <c r="D42">
        <v>909521</v>
      </c>
      <c r="E42" t="s">
        <v>26</v>
      </c>
    </row>
    <row r="43" spans="1:5" x14ac:dyDescent="0.45">
      <c r="A43" t="s">
        <v>11</v>
      </c>
      <c r="B43">
        <v>280405</v>
      </c>
      <c r="C43">
        <v>400731</v>
      </c>
      <c r="D43">
        <v>681136</v>
      </c>
      <c r="E43" t="s">
        <v>26</v>
      </c>
    </row>
    <row r="44" spans="1:5" x14ac:dyDescent="0.45">
      <c r="A44" t="s">
        <v>15</v>
      </c>
      <c r="B44">
        <v>431123</v>
      </c>
      <c r="C44">
        <v>213399</v>
      </c>
      <c r="D44">
        <v>644522</v>
      </c>
      <c r="E44" t="s">
        <v>26</v>
      </c>
    </row>
    <row r="45" spans="1:5" x14ac:dyDescent="0.45">
      <c r="A45" t="s">
        <v>12</v>
      </c>
      <c r="B45">
        <v>240069</v>
      </c>
      <c r="C45">
        <v>346240</v>
      </c>
      <c r="D45">
        <v>586309</v>
      </c>
      <c r="E45" t="s">
        <v>26</v>
      </c>
    </row>
    <row r="46" spans="1:5" x14ac:dyDescent="0.45">
      <c r="A46" t="s">
        <v>13</v>
      </c>
      <c r="B46">
        <v>239674</v>
      </c>
      <c r="C46">
        <v>345482</v>
      </c>
      <c r="D46">
        <v>585156</v>
      </c>
      <c r="E46" t="s">
        <v>26</v>
      </c>
    </row>
    <row r="47" spans="1:5" x14ac:dyDescent="0.45">
      <c r="A47" t="s">
        <v>14</v>
      </c>
      <c r="B47">
        <v>156953</v>
      </c>
      <c r="C47">
        <v>218421</v>
      </c>
      <c r="D47">
        <v>375374</v>
      </c>
      <c r="E47" t="s">
        <v>26</v>
      </c>
    </row>
    <row r="48" spans="1:5" x14ac:dyDescent="0.45">
      <c r="A48" t="s">
        <v>16</v>
      </c>
      <c r="B48">
        <v>144004</v>
      </c>
      <c r="C48">
        <v>119279</v>
      </c>
      <c r="D48">
        <v>263283</v>
      </c>
      <c r="E48" t="s">
        <v>26</v>
      </c>
    </row>
    <row r="49" spans="1:5" x14ac:dyDescent="0.45">
      <c r="A49" t="s">
        <v>17</v>
      </c>
      <c r="B49">
        <v>69833</v>
      </c>
      <c r="C49">
        <v>99430</v>
      </c>
      <c r="D49">
        <v>169263</v>
      </c>
      <c r="E49" t="s">
        <v>26</v>
      </c>
    </row>
    <row r="50" spans="1:5" x14ac:dyDescent="0.45">
      <c r="A50" t="s">
        <v>18</v>
      </c>
      <c r="B50">
        <v>3877</v>
      </c>
      <c r="C50">
        <v>1519</v>
      </c>
      <c r="D50">
        <v>5396</v>
      </c>
      <c r="E50" t="s">
        <v>26</v>
      </c>
    </row>
    <row r="51" spans="1:5" x14ac:dyDescent="0.45">
      <c r="A51" t="s">
        <v>20</v>
      </c>
      <c r="B51">
        <v>1247</v>
      </c>
      <c r="C51">
        <v>570</v>
      </c>
      <c r="D51">
        <v>1817</v>
      </c>
      <c r="E51" t="s">
        <v>26</v>
      </c>
    </row>
    <row r="52" spans="1:5" x14ac:dyDescent="0.45">
      <c r="A52" t="s">
        <v>22</v>
      </c>
      <c r="B52">
        <v>430</v>
      </c>
      <c r="C52">
        <v>315</v>
      </c>
      <c r="D52">
        <v>745</v>
      </c>
      <c r="E52" t="s">
        <v>26</v>
      </c>
    </row>
    <row r="53" spans="1:5" x14ac:dyDescent="0.45">
      <c r="A53" t="s">
        <v>19</v>
      </c>
      <c r="B53">
        <v>312</v>
      </c>
      <c r="C53">
        <v>307</v>
      </c>
      <c r="D53">
        <v>619</v>
      </c>
      <c r="E53" t="s">
        <v>26</v>
      </c>
    </row>
    <row r="54" spans="1:5" x14ac:dyDescent="0.45">
      <c r="A54" t="s">
        <v>21</v>
      </c>
      <c r="B54">
        <v>70</v>
      </c>
      <c r="C54">
        <v>91</v>
      </c>
      <c r="D54">
        <v>161</v>
      </c>
      <c r="E54" t="s">
        <v>26</v>
      </c>
    </row>
    <row r="55" spans="1:5" x14ac:dyDescent="0.45">
      <c r="A55" t="s">
        <v>25</v>
      </c>
      <c r="B55">
        <v>22</v>
      </c>
      <c r="C55">
        <v>73</v>
      </c>
      <c r="D55">
        <v>95</v>
      </c>
      <c r="E55" t="s">
        <v>26</v>
      </c>
    </row>
    <row r="56" spans="1:5" x14ac:dyDescent="0.45">
      <c r="A56" t="s">
        <v>23</v>
      </c>
      <c r="B56">
        <v>0</v>
      </c>
      <c r="C56">
        <v>67</v>
      </c>
      <c r="D56">
        <v>67</v>
      </c>
      <c r="E56" t="s">
        <v>26</v>
      </c>
    </row>
    <row r="57" spans="1:5" x14ac:dyDescent="0.45">
      <c r="A57" t="s">
        <v>5</v>
      </c>
      <c r="B57">
        <v>3249518</v>
      </c>
      <c r="C57">
        <v>3475269</v>
      </c>
      <c r="D57">
        <v>6724787</v>
      </c>
      <c r="E57" t="s">
        <v>27</v>
      </c>
    </row>
    <row r="58" spans="1:5" x14ac:dyDescent="0.45">
      <c r="A58" t="s">
        <v>7</v>
      </c>
      <c r="B58">
        <v>2854728</v>
      </c>
      <c r="C58">
        <v>2876987</v>
      </c>
      <c r="D58">
        <v>5731715</v>
      </c>
      <c r="E58" t="s">
        <v>27</v>
      </c>
    </row>
    <row r="59" spans="1:5" x14ac:dyDescent="0.45">
      <c r="A59" t="s">
        <v>8</v>
      </c>
      <c r="B59">
        <v>557630</v>
      </c>
      <c r="C59">
        <v>827290</v>
      </c>
      <c r="D59">
        <v>1384920</v>
      </c>
      <c r="E59" t="s">
        <v>27</v>
      </c>
    </row>
    <row r="60" spans="1:5" x14ac:dyDescent="0.45">
      <c r="A60" t="s">
        <v>9</v>
      </c>
      <c r="B60">
        <v>636729</v>
      </c>
      <c r="C60">
        <v>743320</v>
      </c>
      <c r="D60">
        <v>1380049</v>
      </c>
      <c r="E60" t="s">
        <v>27</v>
      </c>
    </row>
    <row r="61" spans="1:5" x14ac:dyDescent="0.45">
      <c r="A61" t="s">
        <v>10</v>
      </c>
      <c r="B61">
        <v>472382</v>
      </c>
      <c r="C61">
        <v>711974</v>
      </c>
      <c r="D61">
        <v>1184356</v>
      </c>
      <c r="E61" t="s">
        <v>27</v>
      </c>
    </row>
    <row r="62" spans="1:5" x14ac:dyDescent="0.45">
      <c r="A62" t="s">
        <v>14</v>
      </c>
      <c r="B62">
        <v>356780</v>
      </c>
      <c r="C62">
        <v>524383</v>
      </c>
      <c r="D62">
        <v>881163</v>
      </c>
      <c r="E62" t="s">
        <v>27</v>
      </c>
    </row>
    <row r="63" spans="1:5" x14ac:dyDescent="0.45">
      <c r="A63" t="s">
        <v>11</v>
      </c>
      <c r="B63">
        <v>338819</v>
      </c>
      <c r="C63">
        <v>497573</v>
      </c>
      <c r="D63">
        <v>836392</v>
      </c>
      <c r="E63" t="s">
        <v>27</v>
      </c>
    </row>
    <row r="64" spans="1:5" x14ac:dyDescent="0.45">
      <c r="A64" t="s">
        <v>12</v>
      </c>
      <c r="B64">
        <v>288110</v>
      </c>
      <c r="C64">
        <v>446546</v>
      </c>
      <c r="D64">
        <v>734656</v>
      </c>
      <c r="E64" t="s">
        <v>27</v>
      </c>
    </row>
    <row r="65" spans="1:5" x14ac:dyDescent="0.45">
      <c r="A65" t="s">
        <v>13</v>
      </c>
      <c r="B65">
        <v>287453</v>
      </c>
      <c r="C65">
        <v>445166</v>
      </c>
      <c r="D65">
        <v>732619</v>
      </c>
      <c r="E65" t="s">
        <v>27</v>
      </c>
    </row>
    <row r="66" spans="1:5" x14ac:dyDescent="0.45">
      <c r="A66" t="s">
        <v>15</v>
      </c>
      <c r="B66">
        <v>404796</v>
      </c>
      <c r="C66">
        <v>217516</v>
      </c>
      <c r="D66">
        <v>622312</v>
      </c>
      <c r="E66" t="s">
        <v>27</v>
      </c>
    </row>
    <row r="67" spans="1:5" x14ac:dyDescent="0.45">
      <c r="A67" t="s">
        <v>17</v>
      </c>
      <c r="B67">
        <v>105782</v>
      </c>
      <c r="C67">
        <v>155711</v>
      </c>
      <c r="D67">
        <v>261493</v>
      </c>
      <c r="E67" t="s">
        <v>27</v>
      </c>
    </row>
    <row r="68" spans="1:5" x14ac:dyDescent="0.45">
      <c r="A68" t="s">
        <v>16</v>
      </c>
      <c r="B68">
        <v>124541</v>
      </c>
      <c r="C68">
        <v>136223</v>
      </c>
      <c r="D68">
        <v>260764</v>
      </c>
      <c r="E68" t="s">
        <v>27</v>
      </c>
    </row>
    <row r="69" spans="1:5" x14ac:dyDescent="0.45">
      <c r="A69" t="s">
        <v>18</v>
      </c>
      <c r="B69">
        <v>3630</v>
      </c>
      <c r="C69">
        <v>2180</v>
      </c>
      <c r="D69">
        <v>5810</v>
      </c>
      <c r="E69" t="s">
        <v>27</v>
      </c>
    </row>
    <row r="70" spans="1:5" x14ac:dyDescent="0.45">
      <c r="A70" t="s">
        <v>21</v>
      </c>
      <c r="B70">
        <v>245</v>
      </c>
      <c r="C70">
        <v>372</v>
      </c>
      <c r="D70">
        <v>617</v>
      </c>
      <c r="E70" t="s">
        <v>27</v>
      </c>
    </row>
    <row r="71" spans="1:5" x14ac:dyDescent="0.45">
      <c r="A71" t="s">
        <v>19</v>
      </c>
      <c r="B71">
        <v>258</v>
      </c>
      <c r="C71">
        <v>256</v>
      </c>
      <c r="D71">
        <v>514</v>
      </c>
      <c r="E71" t="s">
        <v>27</v>
      </c>
    </row>
    <row r="72" spans="1:5" x14ac:dyDescent="0.45">
      <c r="A72" t="s">
        <v>20</v>
      </c>
      <c r="B72">
        <v>73</v>
      </c>
      <c r="C72">
        <v>191</v>
      </c>
      <c r="D72">
        <v>264</v>
      </c>
      <c r="E72" t="s">
        <v>27</v>
      </c>
    </row>
    <row r="73" spans="1:5" x14ac:dyDescent="0.45">
      <c r="A73" t="s">
        <v>22</v>
      </c>
      <c r="B73">
        <v>98</v>
      </c>
      <c r="C73">
        <v>33</v>
      </c>
      <c r="D73">
        <v>131</v>
      </c>
      <c r="E73" t="s">
        <v>27</v>
      </c>
    </row>
    <row r="74" spans="1:5" x14ac:dyDescent="0.45">
      <c r="A74" t="s">
        <v>25</v>
      </c>
      <c r="B74">
        <v>13</v>
      </c>
      <c r="C74">
        <v>36</v>
      </c>
      <c r="D74">
        <v>49</v>
      </c>
      <c r="E74" t="s">
        <v>27</v>
      </c>
    </row>
    <row r="75" spans="1:5" x14ac:dyDescent="0.45">
      <c r="A75" t="s">
        <v>5</v>
      </c>
      <c r="B75">
        <v>563809</v>
      </c>
      <c r="C75">
        <v>575448</v>
      </c>
      <c r="D75">
        <v>1139257</v>
      </c>
      <c r="E75" t="s">
        <v>28</v>
      </c>
    </row>
    <row r="76" spans="1:5" x14ac:dyDescent="0.45">
      <c r="A76" t="s">
        <v>7</v>
      </c>
      <c r="B76">
        <v>568491</v>
      </c>
      <c r="C76">
        <v>563860</v>
      </c>
      <c r="D76">
        <v>1132351</v>
      </c>
      <c r="E76" t="s">
        <v>28</v>
      </c>
    </row>
    <row r="77" spans="1:5" x14ac:dyDescent="0.45">
      <c r="A77" t="s">
        <v>9</v>
      </c>
      <c r="B77">
        <v>65870</v>
      </c>
      <c r="C77">
        <v>94507</v>
      </c>
      <c r="D77">
        <v>160377</v>
      </c>
      <c r="E77" t="s">
        <v>28</v>
      </c>
    </row>
    <row r="78" spans="1:5" x14ac:dyDescent="0.45">
      <c r="A78" t="s">
        <v>8</v>
      </c>
      <c r="B78">
        <v>51025</v>
      </c>
      <c r="C78">
        <v>76618</v>
      </c>
      <c r="D78">
        <v>127643</v>
      </c>
      <c r="E78" t="s">
        <v>28</v>
      </c>
    </row>
    <row r="79" spans="1:5" x14ac:dyDescent="0.45">
      <c r="A79" t="s">
        <v>10</v>
      </c>
      <c r="B79">
        <v>45972</v>
      </c>
      <c r="C79">
        <v>68243</v>
      </c>
      <c r="D79">
        <v>114215</v>
      </c>
      <c r="E79" t="s">
        <v>28</v>
      </c>
    </row>
    <row r="80" spans="1:5" x14ac:dyDescent="0.45">
      <c r="A80" t="s">
        <v>11</v>
      </c>
      <c r="B80">
        <v>26315</v>
      </c>
      <c r="C80">
        <v>53114</v>
      </c>
      <c r="D80">
        <v>79429</v>
      </c>
      <c r="E80" t="s">
        <v>28</v>
      </c>
    </row>
    <row r="81" spans="1:5" x14ac:dyDescent="0.45">
      <c r="A81" t="s">
        <v>15</v>
      </c>
      <c r="B81">
        <v>47086</v>
      </c>
      <c r="C81">
        <v>26459</v>
      </c>
      <c r="D81">
        <v>73545</v>
      </c>
      <c r="E81" t="s">
        <v>28</v>
      </c>
    </row>
    <row r="82" spans="1:5" x14ac:dyDescent="0.45">
      <c r="A82" t="s">
        <v>13</v>
      </c>
      <c r="B82">
        <v>20547</v>
      </c>
      <c r="C82">
        <v>40919</v>
      </c>
      <c r="D82">
        <v>61466</v>
      </c>
      <c r="E82" t="s">
        <v>28</v>
      </c>
    </row>
    <row r="83" spans="1:5" x14ac:dyDescent="0.45">
      <c r="A83" t="s">
        <v>12</v>
      </c>
      <c r="B83">
        <v>20641</v>
      </c>
      <c r="C83">
        <v>40172</v>
      </c>
      <c r="D83">
        <v>60813</v>
      </c>
      <c r="E83" t="s">
        <v>28</v>
      </c>
    </row>
    <row r="84" spans="1:5" x14ac:dyDescent="0.45">
      <c r="A84" t="s">
        <v>14</v>
      </c>
      <c r="B84">
        <v>10275</v>
      </c>
      <c r="C84">
        <v>28137</v>
      </c>
      <c r="D84">
        <v>38412</v>
      </c>
      <c r="E84" t="s">
        <v>28</v>
      </c>
    </row>
    <row r="85" spans="1:5" x14ac:dyDescent="0.45">
      <c r="A85" t="s">
        <v>16</v>
      </c>
      <c r="B85">
        <v>12389</v>
      </c>
      <c r="C85">
        <v>13712</v>
      </c>
      <c r="D85">
        <v>26101</v>
      </c>
      <c r="E85" t="s">
        <v>28</v>
      </c>
    </row>
    <row r="86" spans="1:5" x14ac:dyDescent="0.45">
      <c r="A86" t="s">
        <v>17</v>
      </c>
      <c r="B86">
        <v>5257</v>
      </c>
      <c r="C86">
        <v>17863</v>
      </c>
      <c r="D86">
        <v>23120</v>
      </c>
      <c r="E86" t="s">
        <v>28</v>
      </c>
    </row>
    <row r="87" spans="1:5" x14ac:dyDescent="0.45">
      <c r="A87" t="s">
        <v>18</v>
      </c>
      <c r="B87">
        <v>1215</v>
      </c>
      <c r="C87">
        <v>550</v>
      </c>
      <c r="D87">
        <v>1765</v>
      </c>
      <c r="E87" t="s">
        <v>28</v>
      </c>
    </row>
    <row r="88" spans="1:5" x14ac:dyDescent="0.45">
      <c r="A88" t="s">
        <v>20</v>
      </c>
      <c r="B88">
        <v>320</v>
      </c>
      <c r="C88">
        <v>323</v>
      </c>
      <c r="D88">
        <v>643</v>
      </c>
      <c r="E88" t="s">
        <v>28</v>
      </c>
    </row>
    <row r="89" spans="1:5" x14ac:dyDescent="0.45">
      <c r="A89" t="s">
        <v>21</v>
      </c>
      <c r="B89">
        <v>53</v>
      </c>
      <c r="C89">
        <v>27</v>
      </c>
      <c r="D89">
        <v>80</v>
      </c>
      <c r="E89" t="s">
        <v>28</v>
      </c>
    </row>
    <row r="90" spans="1:5" x14ac:dyDescent="0.45">
      <c r="A90" t="s">
        <v>19</v>
      </c>
      <c r="B90">
        <v>0</v>
      </c>
      <c r="C90">
        <v>25</v>
      </c>
      <c r="D90">
        <v>25</v>
      </c>
      <c r="E90" t="s">
        <v>28</v>
      </c>
    </row>
    <row r="91" spans="1:5" x14ac:dyDescent="0.45">
      <c r="A91" t="s">
        <v>22</v>
      </c>
      <c r="B91">
        <v>6</v>
      </c>
      <c r="C91">
        <v>0</v>
      </c>
      <c r="D91">
        <v>6</v>
      </c>
      <c r="E91" t="s">
        <v>28</v>
      </c>
    </row>
    <row r="92" spans="1:5" x14ac:dyDescent="0.45">
      <c r="A92" t="s">
        <v>5</v>
      </c>
      <c r="B92">
        <v>402473</v>
      </c>
      <c r="C92">
        <v>366831</v>
      </c>
      <c r="D92">
        <v>769304</v>
      </c>
      <c r="E92" t="s">
        <v>29</v>
      </c>
    </row>
    <row r="93" spans="1:5" x14ac:dyDescent="0.45">
      <c r="A93" t="s">
        <v>7</v>
      </c>
      <c r="B93">
        <v>80612</v>
      </c>
      <c r="C93">
        <v>83742</v>
      </c>
      <c r="D93">
        <v>164354</v>
      </c>
      <c r="E93" t="s">
        <v>29</v>
      </c>
    </row>
    <row r="94" spans="1:5" x14ac:dyDescent="0.45">
      <c r="A94" t="s">
        <v>9</v>
      </c>
      <c r="B94">
        <v>43266</v>
      </c>
      <c r="C94">
        <v>47326</v>
      </c>
      <c r="D94">
        <v>90592</v>
      </c>
      <c r="E94" t="s">
        <v>29</v>
      </c>
    </row>
    <row r="95" spans="1:5" x14ac:dyDescent="0.45">
      <c r="A95" t="s">
        <v>11</v>
      </c>
      <c r="B95">
        <v>33691</v>
      </c>
      <c r="C95">
        <v>50963</v>
      </c>
      <c r="D95">
        <v>84654</v>
      </c>
      <c r="E95" t="s">
        <v>29</v>
      </c>
    </row>
    <row r="96" spans="1:5" x14ac:dyDescent="0.45">
      <c r="A96" t="s">
        <v>8</v>
      </c>
      <c r="B96">
        <v>32999</v>
      </c>
      <c r="C96">
        <v>48909</v>
      </c>
      <c r="D96">
        <v>81908</v>
      </c>
      <c r="E96" t="s">
        <v>29</v>
      </c>
    </row>
    <row r="97" spans="1:5" x14ac:dyDescent="0.45">
      <c r="A97" t="s">
        <v>12</v>
      </c>
      <c r="B97">
        <v>30439</v>
      </c>
      <c r="C97">
        <v>46379</v>
      </c>
      <c r="D97">
        <v>76818</v>
      </c>
      <c r="E97" t="s">
        <v>29</v>
      </c>
    </row>
    <row r="98" spans="1:5" x14ac:dyDescent="0.45">
      <c r="A98" t="s">
        <v>13</v>
      </c>
      <c r="B98">
        <v>30366</v>
      </c>
      <c r="C98">
        <v>46317</v>
      </c>
      <c r="D98">
        <v>76683</v>
      </c>
      <c r="E98" t="s">
        <v>29</v>
      </c>
    </row>
    <row r="99" spans="1:5" x14ac:dyDescent="0.45">
      <c r="A99" t="s">
        <v>15</v>
      </c>
      <c r="B99">
        <v>41806</v>
      </c>
      <c r="C99">
        <v>12641</v>
      </c>
      <c r="D99">
        <v>54447</v>
      </c>
      <c r="E99" t="s">
        <v>29</v>
      </c>
    </row>
    <row r="100" spans="1:5" x14ac:dyDescent="0.45">
      <c r="A100" t="s">
        <v>14</v>
      </c>
      <c r="B100">
        <v>6512</v>
      </c>
      <c r="C100">
        <v>11106</v>
      </c>
      <c r="D100">
        <v>17618</v>
      </c>
      <c r="E100" t="s">
        <v>29</v>
      </c>
    </row>
    <row r="101" spans="1:5" x14ac:dyDescent="0.45">
      <c r="A101" t="s">
        <v>10</v>
      </c>
      <c r="B101">
        <v>6654</v>
      </c>
      <c r="C101">
        <v>7852</v>
      </c>
      <c r="D101">
        <v>14506</v>
      </c>
      <c r="E101" t="s">
        <v>29</v>
      </c>
    </row>
    <row r="102" spans="1:5" x14ac:dyDescent="0.45">
      <c r="A102" t="s">
        <v>16</v>
      </c>
      <c r="B102">
        <v>7656</v>
      </c>
      <c r="C102">
        <v>6583</v>
      </c>
      <c r="D102">
        <v>14239</v>
      </c>
      <c r="E102" t="s">
        <v>29</v>
      </c>
    </row>
    <row r="103" spans="1:5" x14ac:dyDescent="0.45">
      <c r="A103" t="s">
        <v>17</v>
      </c>
      <c r="B103">
        <v>4161</v>
      </c>
      <c r="C103">
        <v>7541</v>
      </c>
      <c r="D103">
        <v>11702</v>
      </c>
      <c r="E103" t="s">
        <v>29</v>
      </c>
    </row>
    <row r="104" spans="1:5" x14ac:dyDescent="0.45">
      <c r="A104" t="s">
        <v>20</v>
      </c>
      <c r="B104">
        <v>60</v>
      </c>
      <c r="C104">
        <v>118</v>
      </c>
      <c r="D104">
        <v>178</v>
      </c>
      <c r="E104" t="s">
        <v>29</v>
      </c>
    </row>
    <row r="105" spans="1:5" x14ac:dyDescent="0.45">
      <c r="A105" t="s">
        <v>18</v>
      </c>
      <c r="B105">
        <v>79</v>
      </c>
      <c r="C105">
        <v>93</v>
      </c>
      <c r="D105">
        <v>172</v>
      </c>
      <c r="E105" t="s">
        <v>29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format</vt:lpstr>
      <vt:lpstr>image</vt:lpstr>
      <vt:lpstr>pivot</vt:lpstr>
      <vt:lpstr>combined_subject_profile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中村志保</dc:creator>
  <cp:lastModifiedBy>志保 中村</cp:lastModifiedBy>
  <dcterms:created xsi:type="dcterms:W3CDTF">2026-06-08T16:49:15Z</dcterms:created>
  <dcterms:modified xsi:type="dcterms:W3CDTF">2026-06-12T08:51:50Z</dcterms:modified>
</cp:coreProperties>
</file>